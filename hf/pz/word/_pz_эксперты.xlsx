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ранжирование" sheetId="1" r:id="rId1"/>
    <sheet name="ранжирование1" sheetId="2" r:id="rId2"/>
    <sheet name="парные_сравнения" sheetId="3" r:id="rId3"/>
    <sheet name="ранжир2" sheetId="4" r:id="rId4"/>
    <sheet name="компетентность" sheetId="5" r:id="rId5"/>
  </sheets>
  <calcPr calcId="145621"/>
</workbook>
</file>

<file path=xl/calcChain.xml><?xml version="1.0" encoding="utf-8"?>
<calcChain xmlns="http://schemas.openxmlformats.org/spreadsheetml/2006/main">
  <c r="K9" i="4" l="1"/>
  <c r="K8" i="4"/>
  <c r="Q2" i="4"/>
  <c r="K2" i="4"/>
  <c r="Q3" i="4"/>
  <c r="Q4" i="4"/>
  <c r="Q5" i="4"/>
  <c r="Q6" i="4"/>
  <c r="P3" i="4"/>
  <c r="P4" i="4"/>
  <c r="P5" i="4"/>
  <c r="P6" i="4"/>
  <c r="P2" i="4"/>
  <c r="O3" i="4"/>
  <c r="O4" i="4"/>
  <c r="O5" i="4"/>
  <c r="O6" i="4"/>
  <c r="O2" i="4"/>
  <c r="N3" i="4"/>
  <c r="N4" i="4"/>
  <c r="N5" i="4"/>
  <c r="N6" i="4"/>
  <c r="N2" i="4"/>
  <c r="M3" i="4"/>
  <c r="M4" i="4"/>
  <c r="M5" i="4"/>
  <c r="M6" i="4"/>
  <c r="M2" i="4"/>
  <c r="L3" i="4"/>
  <c r="L4" i="4"/>
  <c r="L5" i="4"/>
  <c r="L6" i="4"/>
  <c r="L2" i="4"/>
  <c r="K3" i="4"/>
  <c r="K4" i="4"/>
  <c r="K5" i="4"/>
  <c r="K6" i="4"/>
  <c r="K7" i="4" l="1"/>
  <c r="N7" i="4"/>
  <c r="O7" i="4"/>
  <c r="L7" i="4"/>
  <c r="P7" i="4"/>
  <c r="M7" i="4"/>
  <c r="Q7" i="4"/>
  <c r="K18" i="2"/>
  <c r="J16" i="2"/>
  <c r="M14" i="2"/>
  <c r="C19" i="5" l="1"/>
  <c r="D19" i="5"/>
  <c r="E19" i="5"/>
  <c r="B19" i="5"/>
  <c r="C18" i="5"/>
  <c r="D18" i="5"/>
  <c r="E18" i="5"/>
  <c r="B18" i="5"/>
  <c r="I24" i="5"/>
  <c r="I23" i="5"/>
  <c r="N9" i="4" l="1"/>
  <c r="O9" i="4"/>
  <c r="P9" i="4"/>
  <c r="Q9" i="4"/>
  <c r="M9" i="4"/>
  <c r="L9" i="4"/>
  <c r="I21" i="5"/>
  <c r="H18" i="5"/>
  <c r="I20" i="5"/>
  <c r="H17" i="5"/>
  <c r="B20" i="5" l="1"/>
  <c r="H14" i="5"/>
  <c r="H13" i="5"/>
  <c r="D20" i="5" s="1"/>
  <c r="E20" i="5" l="1"/>
  <c r="P15" i="2"/>
  <c r="P3" i="2"/>
  <c r="N3" i="2"/>
  <c r="M9" i="2"/>
  <c r="M3" i="2"/>
  <c r="H9" i="1"/>
  <c r="G18" i="1"/>
  <c r="G13" i="1"/>
  <c r="B12" i="1"/>
  <c r="G3" i="1"/>
  <c r="F3" i="1"/>
  <c r="B10" i="2"/>
  <c r="E14" i="2" s="1"/>
  <c r="C20" i="5" l="1"/>
  <c r="C17" i="2"/>
  <c r="C15" i="2"/>
  <c r="E13" i="2"/>
  <c r="D16" i="2"/>
  <c r="D14" i="2"/>
  <c r="D13" i="2"/>
  <c r="C16" i="2"/>
  <c r="C14" i="2"/>
  <c r="D17" i="2"/>
  <c r="D15" i="2"/>
  <c r="C13" i="2"/>
  <c r="B17" i="2"/>
  <c r="B16" i="2"/>
  <c r="B15" i="2"/>
  <c r="B14" i="2"/>
  <c r="B13" i="2"/>
  <c r="E17" i="2"/>
  <c r="E16" i="2"/>
  <c r="E15" i="2"/>
  <c r="F3" i="3" l="1"/>
  <c r="F4" i="3"/>
  <c r="F5" i="3"/>
  <c r="F2" i="3"/>
  <c r="F6" i="3" l="1"/>
  <c r="G2" i="3" s="1"/>
  <c r="G4" i="3"/>
  <c r="E8" i="2"/>
  <c r="D8" i="2"/>
  <c r="C8" i="2"/>
  <c r="B8" i="2"/>
  <c r="G3" i="3" l="1"/>
  <c r="G5" i="3"/>
  <c r="C18" i="2"/>
  <c r="E18" i="2"/>
  <c r="D18" i="2"/>
  <c r="B18" i="2"/>
  <c r="F4" i="1"/>
  <c r="F5" i="1"/>
  <c r="G15" i="1" s="1"/>
  <c r="F6" i="1"/>
  <c r="G16" i="1" s="1"/>
  <c r="F7" i="1"/>
  <c r="B9" i="1"/>
  <c r="C8" i="1"/>
  <c r="D8" i="1"/>
  <c r="E8" i="1"/>
  <c r="B8" i="1"/>
  <c r="G17" i="1" l="1"/>
  <c r="G7" i="1"/>
  <c r="H7" i="1" s="1"/>
  <c r="G4" i="1"/>
  <c r="H4" i="1" s="1"/>
  <c r="G14" i="1"/>
  <c r="G6" i="1"/>
  <c r="H6" i="1" s="1"/>
  <c r="G5" i="1"/>
  <c r="H5" i="1" s="1"/>
  <c r="K7" i="2"/>
  <c r="L5" i="2"/>
  <c r="K6" i="2"/>
  <c r="L7" i="2"/>
  <c r="J6" i="2"/>
  <c r="J4" i="2"/>
  <c r="J5" i="2"/>
  <c r="I7" i="2"/>
  <c r="K4" i="2"/>
  <c r="L3" i="2"/>
  <c r="K3" i="2"/>
  <c r="I4" i="2"/>
  <c r="J3" i="2"/>
  <c r="K5" i="2"/>
  <c r="L4" i="2"/>
  <c r="L6" i="2"/>
  <c r="I3" i="2"/>
  <c r="I5" i="2"/>
  <c r="J7" i="2"/>
  <c r="I6" i="2"/>
  <c r="F8" i="1"/>
  <c r="G8" i="1" l="1"/>
  <c r="H3" i="1"/>
  <c r="H8" i="1" s="1"/>
  <c r="M4" i="2"/>
  <c r="N4" i="2"/>
  <c r="M7" i="2"/>
  <c r="N7" i="2"/>
  <c r="M6" i="2"/>
  <c r="N6" i="2"/>
  <c r="M5" i="2"/>
  <c r="N5" i="2"/>
  <c r="J8" i="2"/>
  <c r="K8" i="2"/>
  <c r="L8" i="2"/>
  <c r="I8" i="2"/>
  <c r="F11" i="1" l="1"/>
  <c r="P6" i="2"/>
  <c r="Q6" i="2" s="1"/>
  <c r="N8" i="2"/>
  <c r="P4" i="2" l="1"/>
  <c r="Q4" i="2" s="1"/>
  <c r="P7" i="2"/>
  <c r="Q7" i="2" s="1"/>
  <c r="P5" i="2"/>
  <c r="Q5" i="2" s="1"/>
  <c r="Q3" i="2"/>
  <c r="P9" i="2" l="1"/>
  <c r="Q8" i="2"/>
  <c r="Q11" i="2"/>
  <c r="Q12" i="2" s="1"/>
</calcChain>
</file>

<file path=xl/sharedStrings.xml><?xml version="1.0" encoding="utf-8"?>
<sst xmlns="http://schemas.openxmlformats.org/spreadsheetml/2006/main" count="149" uniqueCount="103">
  <si>
    <t>Ф1</t>
  </si>
  <si>
    <t>Ф2</t>
  </si>
  <si>
    <t>Ф3</t>
  </si>
  <si>
    <t>Ф4</t>
  </si>
  <si>
    <t>Ф5</t>
  </si>
  <si>
    <t>Э1</t>
  </si>
  <si>
    <t>Э2</t>
  </si>
  <si>
    <t>Э3</t>
  </si>
  <si>
    <t>Э4</t>
  </si>
  <si>
    <t>Сумма рангов</t>
  </si>
  <si>
    <t>откл от сред</t>
  </si>
  <si>
    <t>кв отклон</t>
  </si>
  <si>
    <t>сумма</t>
  </si>
  <si>
    <t>среднее суммы рангов=</t>
  </si>
  <si>
    <t>коэффициента конкордации Кендалла</t>
  </si>
  <si>
    <t>w= 12S/((n^2)(m^3-m))= 12*132/(4^2*(5^3-5))=</t>
  </si>
  <si>
    <t>ср_кв_откл=</t>
  </si>
  <si>
    <t>лин откл</t>
  </si>
  <si>
    <t>ср лин откл=</t>
  </si>
  <si>
    <t>вес фактора</t>
  </si>
  <si>
    <t>ср_весов факторов</t>
  </si>
  <si>
    <t>кв_откл</t>
  </si>
  <si>
    <t>ср_лин_откл</t>
  </si>
  <si>
    <t>сумма=</t>
  </si>
  <si>
    <t>дисп=</t>
  </si>
  <si>
    <t>коэфф</t>
  </si>
  <si>
    <t>вариации=</t>
  </si>
  <si>
    <t>сумма рангов</t>
  </si>
  <si>
    <t>ср сумм рангов</t>
  </si>
  <si>
    <t>Эксперты n возр значим</t>
  </si>
  <si>
    <t>Эксперты n (возраст знач)</t>
  </si>
  <si>
    <t>Эксперты n (убыв знач)</t>
  </si>
  <si>
    <t>ранга от ср</t>
  </si>
  <si>
    <r>
      <t>Z</t>
    </r>
    <r>
      <rPr>
        <b/>
        <vertAlign val="subscript"/>
        <sz val="14"/>
        <color theme="1"/>
        <rFont val="Times New Roman"/>
        <family val="1"/>
        <charset val="204"/>
      </rPr>
      <t>i</t>
    </r>
    <r>
      <rPr>
        <b/>
        <sz val="14"/>
        <color theme="1"/>
        <rFont val="Times New Roman"/>
        <family val="1"/>
        <charset val="204"/>
      </rPr>
      <t>/Z</t>
    </r>
    <r>
      <rPr>
        <b/>
        <vertAlign val="subscript"/>
        <sz val="14"/>
        <color theme="1"/>
        <rFont val="Times New Roman"/>
        <family val="1"/>
        <charset val="204"/>
      </rPr>
      <t>j</t>
    </r>
  </si>
  <si>
    <r>
      <t>Z</t>
    </r>
    <r>
      <rPr>
        <b/>
        <vertAlign val="subscript"/>
        <sz val="14"/>
        <color theme="1"/>
        <rFont val="Times New Roman"/>
        <family val="1"/>
        <charset val="204"/>
      </rPr>
      <t>1</t>
    </r>
  </si>
  <si>
    <r>
      <t>Z</t>
    </r>
    <r>
      <rPr>
        <b/>
        <vertAlign val="subscript"/>
        <sz val="14"/>
        <color theme="1"/>
        <rFont val="Times New Roman"/>
        <family val="1"/>
        <charset val="204"/>
      </rPr>
      <t>2</t>
    </r>
  </si>
  <si>
    <r>
      <t>Z</t>
    </r>
    <r>
      <rPr>
        <b/>
        <vertAlign val="subscript"/>
        <sz val="14"/>
        <color theme="1"/>
        <rFont val="Times New Roman"/>
        <family val="1"/>
        <charset val="204"/>
      </rPr>
      <t>3</t>
    </r>
  </si>
  <si>
    <r>
      <t>Z</t>
    </r>
    <r>
      <rPr>
        <b/>
        <vertAlign val="subscript"/>
        <sz val="14"/>
        <color theme="1"/>
        <rFont val="Times New Roman"/>
        <family val="1"/>
        <charset val="204"/>
      </rPr>
      <t>4</t>
    </r>
  </si>
  <si>
    <t>цена цели (сумма строки)</t>
  </si>
  <si>
    <t>∑ цен =</t>
  </si>
  <si>
    <t>Нормированная цена критерия</t>
  </si>
  <si>
    <t>э1</t>
  </si>
  <si>
    <t>э2</t>
  </si>
  <si>
    <t>э3</t>
  </si>
  <si>
    <t>э4</t>
  </si>
  <si>
    <t>э5</t>
  </si>
  <si>
    <t>№ п/п</t>
  </si>
  <si>
    <r>
      <rPr>
        <b/>
        <sz val="14"/>
        <color rgb="FF7030A0"/>
        <rFont val="Calibri"/>
        <family val="2"/>
        <charset val="204"/>
      </rPr>
      <t xml:space="preserve">∑ рангов </t>
    </r>
    <r>
      <rPr>
        <b/>
        <sz val="14"/>
        <color rgb="FF7030A0"/>
        <rFont val="Times New Roman"/>
        <family val="1"/>
        <charset val="204"/>
      </rPr>
      <t>=</t>
    </r>
  </si>
  <si>
    <t>к-т вариации v=σ/ср.суммы_рангов=</t>
  </si>
  <si>
    <t>Эксперты    n</t>
  </si>
  <si>
    <t>R’ij=max-Rij</t>
  </si>
  <si>
    <t>max(b3:e7)=</t>
  </si>
  <si>
    <t>Факторы m</t>
  </si>
  <si>
    <t>Занимаемая должность</t>
  </si>
  <si>
    <r>
      <t>(R</t>
    </r>
    <r>
      <rPr>
        <b/>
        <vertAlign val="subscript"/>
        <sz val="14"/>
        <color rgb="FF000000"/>
        <rFont val="Times New Roman"/>
        <family val="1"/>
        <charset val="204"/>
      </rPr>
      <t>j</t>
    </r>
    <r>
      <rPr>
        <b/>
        <sz val="14"/>
        <color rgb="FF000000"/>
        <rFont val="Times New Roman"/>
        <family val="1"/>
        <charset val="204"/>
      </rPr>
      <t>)</t>
    </r>
  </si>
  <si>
    <t>специалист без степени</t>
  </si>
  <si>
    <t>кандидат наук</t>
  </si>
  <si>
    <t>доктор наук</t>
  </si>
  <si>
    <t>академик</t>
  </si>
  <si>
    <t>Ведущий инженер</t>
  </si>
  <si>
    <t>—</t>
  </si>
  <si>
    <t>С.Н.С., Н.С., М.Н.С.</t>
  </si>
  <si>
    <t>Гл. Н.С., вед. Н.С.</t>
  </si>
  <si>
    <t>Зав. лабораторией, сектора</t>
  </si>
  <si>
    <t>Зав. отдела, заместитель</t>
  </si>
  <si>
    <t>Руководитель комплекса, отделения</t>
  </si>
  <si>
    <t>Директор, заместитель</t>
  </si>
  <si>
    <r>
      <t>Э</t>
    </r>
    <r>
      <rPr>
        <b/>
        <vertAlign val="subscript"/>
        <sz val="14"/>
        <color rgb="FF000000"/>
        <rFont val="Times New Roman"/>
        <family val="1"/>
        <charset val="204"/>
      </rPr>
      <t>j</t>
    </r>
    <r>
      <rPr>
        <b/>
        <sz val="14"/>
        <color rgb="FF000000"/>
        <rFont val="Times New Roman"/>
        <family val="1"/>
        <charset val="204"/>
      </rPr>
      <t>/Z</t>
    </r>
    <r>
      <rPr>
        <b/>
        <vertAlign val="subscript"/>
        <sz val="14"/>
        <color rgb="FF000000"/>
        <rFont val="Times New Roman"/>
        <family val="1"/>
        <charset val="204"/>
      </rPr>
      <t>i</t>
    </r>
  </si>
  <si>
    <r>
      <t>Z</t>
    </r>
    <r>
      <rPr>
        <b/>
        <vertAlign val="subscript"/>
        <sz val="14"/>
        <color rgb="FF000000"/>
        <rFont val="Times New Roman"/>
        <family val="1"/>
        <charset val="204"/>
      </rPr>
      <t>1</t>
    </r>
  </si>
  <si>
    <r>
      <t>Z</t>
    </r>
    <r>
      <rPr>
        <b/>
        <vertAlign val="subscript"/>
        <sz val="14"/>
        <color rgb="FF000000"/>
        <rFont val="Times New Roman"/>
        <family val="1"/>
        <charset val="204"/>
      </rPr>
      <t>2</t>
    </r>
  </si>
  <si>
    <r>
      <t>Z</t>
    </r>
    <r>
      <rPr>
        <b/>
        <vertAlign val="subscript"/>
        <sz val="14"/>
        <color rgb="FF000000"/>
        <rFont val="Times New Roman"/>
        <family val="1"/>
        <charset val="204"/>
      </rPr>
      <t>3</t>
    </r>
  </si>
  <si>
    <r>
      <t>Z</t>
    </r>
    <r>
      <rPr>
        <b/>
        <vertAlign val="subscript"/>
        <sz val="14"/>
        <color rgb="FF000000"/>
        <rFont val="Times New Roman"/>
        <family val="1"/>
        <charset val="204"/>
      </rPr>
      <t>4</t>
    </r>
  </si>
  <si>
    <r>
      <t>Э</t>
    </r>
    <r>
      <rPr>
        <b/>
        <vertAlign val="subscript"/>
        <sz val="14"/>
        <color rgb="FF000000"/>
        <rFont val="Times New Roman"/>
        <family val="1"/>
        <charset val="204"/>
      </rPr>
      <t>1</t>
    </r>
    <r>
      <rPr>
        <b/>
        <sz val="14"/>
        <color rgb="FF000000"/>
        <rFont val="Times New Roman"/>
        <family val="1"/>
        <charset val="204"/>
      </rPr>
      <t>(R</t>
    </r>
    <r>
      <rPr>
        <b/>
        <vertAlign val="subscript"/>
        <sz val="14"/>
        <color rgb="FF000000"/>
        <rFont val="Times New Roman"/>
        <family val="1"/>
        <charset val="204"/>
      </rPr>
      <t>1</t>
    </r>
    <r>
      <rPr>
        <b/>
        <sz val="14"/>
        <color rgb="FF000000"/>
        <rFont val="Times New Roman"/>
        <family val="1"/>
        <charset val="204"/>
      </rPr>
      <t>)</t>
    </r>
  </si>
  <si>
    <r>
      <t>Э</t>
    </r>
    <r>
      <rPr>
        <b/>
        <vertAlign val="subscript"/>
        <sz val="14"/>
        <color rgb="FF000000"/>
        <rFont val="Times New Roman"/>
        <family val="1"/>
        <charset val="204"/>
      </rPr>
      <t>2</t>
    </r>
    <r>
      <rPr>
        <b/>
        <sz val="14"/>
        <color rgb="FF000000"/>
        <rFont val="Times New Roman"/>
        <family val="1"/>
        <charset val="204"/>
      </rPr>
      <t>(R</t>
    </r>
    <r>
      <rPr>
        <b/>
        <vertAlign val="subscript"/>
        <sz val="14"/>
        <color rgb="FF000000"/>
        <rFont val="Times New Roman"/>
        <family val="1"/>
        <charset val="204"/>
      </rPr>
      <t>2</t>
    </r>
    <r>
      <rPr>
        <b/>
        <sz val="14"/>
        <color rgb="FF000000"/>
        <rFont val="Times New Roman"/>
        <family val="1"/>
        <charset val="204"/>
      </rPr>
      <t>)</t>
    </r>
  </si>
  <si>
    <t>Таблица 4 − Матрица весов целей</t>
  </si>
  <si>
    <t>Таблица 5 − Откорректированная матрица весов целей</t>
  </si>
  <si>
    <r>
      <t>Э</t>
    </r>
    <r>
      <rPr>
        <b/>
        <i/>
        <vertAlign val="subscript"/>
        <sz val="14"/>
        <color rgb="FF0070C0"/>
        <rFont val="Times New Roman"/>
        <family val="1"/>
        <charset val="204"/>
      </rPr>
      <t>j</t>
    </r>
    <r>
      <rPr>
        <b/>
        <i/>
        <sz val="14"/>
        <color rgb="FF0070C0"/>
        <rFont val="Times New Roman"/>
        <family val="1"/>
        <charset val="204"/>
      </rPr>
      <t>/Z</t>
    </r>
    <r>
      <rPr>
        <b/>
        <i/>
        <vertAlign val="subscript"/>
        <sz val="14"/>
        <color rgb="FF0070C0"/>
        <rFont val="Times New Roman"/>
        <family val="1"/>
        <charset val="204"/>
      </rPr>
      <t>i</t>
    </r>
  </si>
  <si>
    <r>
      <t>Z</t>
    </r>
    <r>
      <rPr>
        <b/>
        <i/>
        <vertAlign val="subscript"/>
        <sz val="14"/>
        <color rgb="FF0070C0"/>
        <rFont val="Times New Roman"/>
        <family val="1"/>
        <charset val="204"/>
      </rPr>
      <t>1</t>
    </r>
  </si>
  <si>
    <r>
      <t>Z</t>
    </r>
    <r>
      <rPr>
        <b/>
        <i/>
        <vertAlign val="subscript"/>
        <sz val="14"/>
        <color rgb="FF0070C0"/>
        <rFont val="Times New Roman"/>
        <family val="1"/>
        <charset val="204"/>
      </rPr>
      <t>2</t>
    </r>
  </si>
  <si>
    <r>
      <t>Z</t>
    </r>
    <r>
      <rPr>
        <b/>
        <i/>
        <vertAlign val="subscript"/>
        <sz val="14"/>
        <color rgb="FF0070C0"/>
        <rFont val="Times New Roman"/>
        <family val="1"/>
        <charset val="204"/>
      </rPr>
      <t>3</t>
    </r>
  </si>
  <si>
    <r>
      <t>Z</t>
    </r>
    <r>
      <rPr>
        <b/>
        <i/>
        <vertAlign val="subscript"/>
        <sz val="14"/>
        <color rgb="FF0070C0"/>
        <rFont val="Times New Roman"/>
        <family val="1"/>
        <charset val="204"/>
      </rPr>
      <t>4</t>
    </r>
  </si>
  <si>
    <r>
      <t>Э</t>
    </r>
    <r>
      <rPr>
        <b/>
        <i/>
        <vertAlign val="subscript"/>
        <sz val="14"/>
        <color rgb="FF0070C0"/>
        <rFont val="Times New Roman"/>
        <family val="1"/>
        <charset val="204"/>
      </rPr>
      <t>1</t>
    </r>
    <r>
      <rPr>
        <b/>
        <i/>
        <sz val="14"/>
        <color rgb="FF0070C0"/>
        <rFont val="Times New Roman"/>
        <family val="1"/>
        <charset val="204"/>
      </rPr>
      <t>(R</t>
    </r>
    <r>
      <rPr>
        <b/>
        <i/>
        <vertAlign val="subscript"/>
        <sz val="14"/>
        <color rgb="FF0070C0"/>
        <rFont val="Times New Roman"/>
        <family val="1"/>
        <charset val="204"/>
      </rPr>
      <t>1</t>
    </r>
    <r>
      <rPr>
        <b/>
        <i/>
        <sz val="14"/>
        <color rgb="FF0070C0"/>
        <rFont val="Times New Roman"/>
        <family val="1"/>
        <charset val="204"/>
      </rPr>
      <t>)</t>
    </r>
  </si>
  <si>
    <r>
      <t>Э</t>
    </r>
    <r>
      <rPr>
        <b/>
        <i/>
        <vertAlign val="subscript"/>
        <sz val="14"/>
        <color rgb="FF0070C0"/>
        <rFont val="Times New Roman"/>
        <family val="1"/>
        <charset val="204"/>
      </rPr>
      <t>2</t>
    </r>
    <r>
      <rPr>
        <b/>
        <i/>
        <sz val="14"/>
        <color rgb="FF0070C0"/>
        <rFont val="Times New Roman"/>
        <family val="1"/>
        <charset val="204"/>
      </rPr>
      <t>(R</t>
    </r>
    <r>
      <rPr>
        <b/>
        <i/>
        <vertAlign val="subscript"/>
        <sz val="14"/>
        <color rgb="FF0070C0"/>
        <rFont val="Times New Roman"/>
        <family val="1"/>
        <charset val="204"/>
      </rPr>
      <t>2</t>
    </r>
    <r>
      <rPr>
        <b/>
        <i/>
        <sz val="14"/>
        <color rgb="FF0070C0"/>
        <rFont val="Times New Roman"/>
        <family val="1"/>
        <charset val="204"/>
      </rPr>
      <t>)</t>
    </r>
  </si>
  <si>
    <t xml:space="preserve">Откоррект. Веса Zi = </t>
  </si>
  <si>
    <t>Rai=Ri/(Ra1+Ra2)</t>
  </si>
  <si>
    <t xml:space="preserve">Ra1 = 4,5/12,5 = </t>
  </si>
  <si>
    <t xml:space="preserve">Ra2 = 8/12,5 = </t>
  </si>
  <si>
    <t>К-ты информированности</t>
  </si>
  <si>
    <t>К-ты аргументированности</t>
  </si>
  <si>
    <t>Итоговые к-ты компетентности</t>
  </si>
  <si>
    <t>Rk1= (0,1⋅Ru1+Ra1)/2=</t>
  </si>
  <si>
    <t>Rk2= (0,1⋅Ru2+Ra2)/2=</t>
  </si>
  <si>
    <r>
      <t>R</t>
    </r>
    <r>
      <rPr>
        <b/>
        <i/>
        <vertAlign val="subscript"/>
        <sz val="14"/>
        <color rgb="FF0070C0"/>
        <rFont val="Times New Roman"/>
        <family val="1"/>
        <charset val="204"/>
      </rPr>
      <t>u2</t>
    </r>
    <r>
      <rPr>
        <b/>
        <i/>
        <sz val="14"/>
        <color rgb="FF0070C0"/>
        <rFont val="Times New Roman"/>
        <family val="1"/>
        <charset val="204"/>
      </rPr>
      <t xml:space="preserve"> = 7/9 = </t>
    </r>
  </si>
  <si>
    <r>
      <t>R</t>
    </r>
    <r>
      <rPr>
        <b/>
        <i/>
        <vertAlign val="subscript"/>
        <sz val="14"/>
        <color rgb="FF0070C0"/>
        <rFont val="Times New Roman"/>
        <family val="1"/>
        <charset val="204"/>
      </rPr>
      <t>u1</t>
    </r>
    <r>
      <rPr>
        <b/>
        <i/>
        <sz val="14"/>
        <color rgb="FF0070C0"/>
        <rFont val="Times New Roman"/>
        <family val="1"/>
        <charset val="204"/>
      </rPr>
      <t> = </t>
    </r>
    <r>
      <rPr>
        <b/>
        <i/>
        <sz val="14"/>
        <color rgb="FF0070C0"/>
        <rFont val="Times New Roman"/>
        <family val="1"/>
        <charset val="204"/>
      </rPr>
      <t xml:space="preserve">7/9 = </t>
    </r>
  </si>
  <si>
    <t>Нормализованные к-ты компетентности</t>
  </si>
  <si>
    <t>Rk1= Rk1/(Rk1+Rk2)=</t>
  </si>
  <si>
    <t>Rk2= Rk2/(Rk1+Rk2)=</t>
  </si>
  <si>
    <r>
      <t>χ=m(n-1)k</t>
    </r>
    <r>
      <rPr>
        <b/>
        <i/>
        <vertAlign val="subscript"/>
        <sz val="14"/>
        <color theme="1"/>
        <rFont val="Times New Roman"/>
        <family val="1"/>
        <charset val="204"/>
      </rPr>
      <t>o</t>
    </r>
    <r>
      <rPr>
        <b/>
        <i/>
        <sz val="14"/>
        <color theme="1"/>
        <rFont val="Times New Roman"/>
        <family val="1"/>
        <charset val="204"/>
      </rPr>
      <t>=</t>
    </r>
  </si>
  <si>
    <r>
      <t>χ</t>
    </r>
    <r>
      <rPr>
        <b/>
        <i/>
        <vertAlign val="subscript"/>
        <sz val="14"/>
        <color theme="1"/>
        <rFont val="Cambria"/>
        <family val="1"/>
        <charset val="204"/>
      </rPr>
      <t>1-</t>
    </r>
    <r>
      <rPr>
        <b/>
        <vertAlign val="subscript"/>
        <sz val="14"/>
        <color theme="1"/>
        <rFont val="Cambria"/>
        <family val="1"/>
        <charset val="204"/>
      </rPr>
      <t>α</t>
    </r>
    <r>
      <rPr>
        <b/>
        <i/>
        <vertAlign val="subscript"/>
        <sz val="14"/>
        <color theme="1"/>
        <rFont val="Cambria"/>
        <family val="1"/>
        <charset val="204"/>
      </rPr>
      <t>,v</t>
    </r>
    <r>
      <rPr>
        <b/>
        <i/>
        <vertAlign val="superscript"/>
        <sz val="14"/>
        <color theme="1"/>
        <rFont val="Times New Roman"/>
        <family val="1"/>
        <charset val="204"/>
      </rPr>
      <t xml:space="preserve">2 </t>
    </r>
    <r>
      <rPr>
        <b/>
        <i/>
        <sz val="14"/>
        <color theme="1"/>
        <rFont val="Times New Roman"/>
        <family val="1"/>
        <charset val="204"/>
      </rPr>
      <t>= χ</t>
    </r>
    <r>
      <rPr>
        <b/>
        <i/>
        <vertAlign val="subscript"/>
        <sz val="14"/>
        <color theme="1"/>
        <rFont val="Times New Roman"/>
        <family val="1"/>
        <charset val="204"/>
      </rPr>
      <t>1-0,05,3</t>
    </r>
    <r>
      <rPr>
        <b/>
        <i/>
        <vertAlign val="superscript"/>
        <sz val="14"/>
        <color theme="1"/>
        <rFont val="Times New Roman"/>
        <family val="1"/>
        <charset val="204"/>
      </rPr>
      <t xml:space="preserve">2 </t>
    </r>
    <r>
      <rPr>
        <b/>
        <i/>
        <sz val="14"/>
        <color theme="1"/>
        <rFont val="Times New Roman"/>
        <family val="1"/>
        <charset val="204"/>
      </rPr>
      <t>=</t>
    </r>
  </si>
  <si>
    <r>
      <t>χ &gt; χ</t>
    </r>
    <r>
      <rPr>
        <b/>
        <i/>
        <vertAlign val="subscript"/>
        <sz val="14"/>
        <color rgb="FF7030A0"/>
        <rFont val="Cambria"/>
        <family val="1"/>
        <charset val="204"/>
      </rPr>
      <t>1-</t>
    </r>
    <r>
      <rPr>
        <b/>
        <vertAlign val="subscript"/>
        <sz val="14"/>
        <color rgb="FF7030A0"/>
        <rFont val="Cambria"/>
        <family val="1"/>
        <charset val="204"/>
      </rPr>
      <t>α</t>
    </r>
    <r>
      <rPr>
        <b/>
        <i/>
        <vertAlign val="subscript"/>
        <sz val="14"/>
        <color rgb="FF7030A0"/>
        <rFont val="Cambria"/>
        <family val="1"/>
        <charset val="204"/>
      </rPr>
      <t>,v</t>
    </r>
    <r>
      <rPr>
        <b/>
        <i/>
        <vertAlign val="superscript"/>
        <sz val="14"/>
        <color rgb="FF7030A0"/>
        <rFont val="Times New Roman"/>
        <family val="1"/>
        <charset val="204"/>
      </rPr>
      <t xml:space="preserve">2     </t>
    </r>
    <r>
      <rPr>
        <b/>
        <i/>
        <sz val="14"/>
        <color rgb="FF7030A0"/>
        <rFont val="Times New Roman"/>
        <family val="1"/>
        <charset val="204"/>
      </rPr>
      <t>-  коэфф. конкордации является значимым</t>
    </r>
  </si>
  <si>
    <r>
      <t>k</t>
    </r>
    <r>
      <rPr>
        <b/>
        <vertAlign val="subscript"/>
        <sz val="12"/>
        <color rgb="FFFF0000"/>
        <rFont val="Times New Roman"/>
        <family val="1"/>
        <charset val="204"/>
      </rPr>
      <t>o</t>
    </r>
    <r>
      <rPr>
        <b/>
        <sz val="12"/>
        <color rgb="FFFF0000"/>
        <rFont val="Times New Roman"/>
        <family val="1"/>
        <charset val="204"/>
      </rPr>
      <t>= 1200S/((n^2)(m^3-m))= 12*1,32/(4^2*(5^3-5))=</t>
    </r>
  </si>
  <si>
    <t>SUM=</t>
  </si>
  <si>
    <t>коэфф.      весомости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</si>
</sst>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0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b/>
      <i/>
      <sz val="11.5"/>
      <color rgb="FF646464"/>
      <name val="Roboto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7030A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vertAlign val="subscript"/>
      <sz val="14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4"/>
      <color rgb="FF7030A0"/>
      <name val="Times New Roman"/>
      <family val="1"/>
      <charset val="204"/>
    </font>
    <font>
      <b/>
      <sz val="14"/>
      <color rgb="FFC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i/>
      <sz val="14"/>
      <color rgb="FF0070C0"/>
      <name val="Times New Roman"/>
      <family val="1"/>
      <charset val="204"/>
    </font>
    <font>
      <b/>
      <sz val="14"/>
      <color rgb="FF7030A0"/>
      <name val="Calibri"/>
      <family val="2"/>
      <charset val="204"/>
    </font>
    <font>
      <sz val="11.5"/>
      <color rgb="FF646464"/>
      <name val="Roboto"/>
      <charset val="204"/>
    </font>
    <font>
      <b/>
      <sz val="12"/>
      <color rgb="FF0070C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vertAlign val="subscript"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rgb="FF7030A0"/>
      <name val="Times New Roman"/>
      <family val="1"/>
      <charset val="204"/>
    </font>
    <font>
      <b/>
      <i/>
      <vertAlign val="subscript"/>
      <sz val="14"/>
      <color rgb="FF0070C0"/>
      <name val="Times New Roman"/>
      <family val="1"/>
      <charset val="204"/>
    </font>
    <font>
      <i/>
      <sz val="14"/>
      <color rgb="FF0070C0"/>
      <name val="Calibri"/>
      <family val="2"/>
      <scheme val="minor"/>
    </font>
    <font>
      <b/>
      <i/>
      <sz val="14"/>
      <color rgb="FFC00000"/>
      <name val="Calibri"/>
      <family val="2"/>
      <charset val="204"/>
      <scheme val="minor"/>
    </font>
    <font>
      <b/>
      <i/>
      <sz val="11"/>
      <color rgb="FF0070C0"/>
      <name val="Times New Roman"/>
      <family val="1"/>
      <charset val="204"/>
    </font>
    <font>
      <b/>
      <i/>
      <sz val="11"/>
      <color rgb="FF7030A0"/>
      <name val="Times New Roman"/>
      <family val="1"/>
      <charset val="204"/>
    </font>
    <font>
      <b/>
      <sz val="14"/>
      <color rgb="FF002060"/>
      <name val="Times New Roman"/>
      <family val="1"/>
      <charset val="204"/>
    </font>
    <font>
      <b/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vertAlign val="subscript"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vertAlign val="subscript"/>
      <sz val="14"/>
      <color theme="1"/>
      <name val="Cambria"/>
      <family val="1"/>
      <charset val="204"/>
    </font>
    <font>
      <b/>
      <vertAlign val="subscript"/>
      <sz val="14"/>
      <color theme="1"/>
      <name val="Cambria"/>
      <family val="1"/>
      <charset val="204"/>
    </font>
    <font>
      <b/>
      <i/>
      <vertAlign val="superscript"/>
      <sz val="14"/>
      <color theme="1"/>
      <name val="Times New Roman"/>
      <family val="1"/>
      <charset val="204"/>
    </font>
    <font>
      <b/>
      <i/>
      <vertAlign val="subscript"/>
      <sz val="14"/>
      <color rgb="FF7030A0"/>
      <name val="Cambria"/>
      <family val="1"/>
      <charset val="204"/>
    </font>
    <font>
      <b/>
      <vertAlign val="subscript"/>
      <sz val="14"/>
      <color rgb="FF7030A0"/>
      <name val="Cambria"/>
      <family val="1"/>
      <charset val="204"/>
    </font>
    <font>
      <b/>
      <i/>
      <vertAlign val="superscript"/>
      <sz val="14"/>
      <color rgb="FF7030A0"/>
      <name val="Times New Roman"/>
      <family val="1"/>
      <charset val="204"/>
    </font>
    <font>
      <sz val="11"/>
      <color rgb="FF7030A0"/>
      <name val="Calibri"/>
      <family val="2"/>
      <scheme val="minor"/>
    </font>
    <font>
      <b/>
      <vertAlign val="subscript"/>
      <sz val="12"/>
      <color rgb="FFFF0000"/>
      <name val="Times New Roman"/>
      <family val="1"/>
      <charset val="204"/>
    </font>
    <font>
      <b/>
      <i/>
      <sz val="16"/>
      <color rgb="FFC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7030A0"/>
      </bottom>
      <diagonal/>
    </border>
    <border>
      <left style="medium">
        <color indexed="64"/>
      </left>
      <right/>
      <top style="medium">
        <color indexed="64"/>
      </top>
      <bottom style="thick">
        <color rgb="FF7030A0"/>
      </bottom>
      <diagonal/>
    </border>
    <border>
      <left/>
      <right/>
      <top style="medium">
        <color indexed="64"/>
      </top>
      <bottom style="thick">
        <color rgb="FF7030A0"/>
      </bottom>
      <diagonal/>
    </border>
    <border>
      <left style="thick">
        <color rgb="FF7030A0"/>
      </left>
      <right/>
      <top/>
      <bottom/>
      <diagonal/>
    </border>
    <border>
      <left/>
      <right/>
      <top style="thick">
        <color rgb="FF7030A0"/>
      </top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 style="thick">
        <color rgb="FF7030A0"/>
      </bottom>
      <diagonal/>
    </border>
    <border>
      <left/>
      <right style="thick">
        <color rgb="FF7030A0"/>
      </right>
      <top style="thick">
        <color rgb="FF7030A0"/>
      </top>
      <bottom style="thick">
        <color rgb="FF7030A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3" fillId="0" borderId="0" xfId="0" applyFont="1" applyFill="1" applyBorder="1"/>
    <xf numFmtId="0" fontId="4" fillId="0" borderId="0" xfId="0" applyFont="1"/>
    <xf numFmtId="0" fontId="5" fillId="0" borderId="0" xfId="0" applyFont="1"/>
    <xf numFmtId="0" fontId="1" fillId="0" borderId="0" xfId="0" applyFont="1" applyBorder="1"/>
    <xf numFmtId="0" fontId="6" fillId="0" borderId="0" xfId="0" applyFont="1"/>
    <xf numFmtId="0" fontId="1" fillId="0" borderId="3" xfId="0" applyFont="1" applyFill="1" applyBorder="1"/>
    <xf numFmtId="0" fontId="8" fillId="0" borderId="0" xfId="0" applyFont="1"/>
    <xf numFmtId="0" fontId="4" fillId="0" borderId="2" xfId="0" applyFont="1" applyFill="1" applyBorder="1"/>
    <xf numFmtId="0" fontId="4" fillId="0" borderId="3" xfId="0" applyFont="1" applyFill="1" applyBorder="1"/>
    <xf numFmtId="0" fontId="1" fillId="0" borderId="1" xfId="0" applyFont="1" applyFill="1" applyBorder="1"/>
    <xf numFmtId="0" fontId="1" fillId="0" borderId="4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7" fillId="0" borderId="6" xfId="0" applyFont="1" applyBorder="1"/>
    <xf numFmtId="0" fontId="7" fillId="0" borderId="8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9" xfId="0" applyFont="1" applyBorder="1"/>
    <xf numFmtId="0" fontId="7" fillId="0" borderId="1" xfId="0" applyFont="1" applyBorder="1"/>
    <xf numFmtId="0" fontId="11" fillId="0" borderId="0" xfId="0" applyFont="1"/>
    <xf numFmtId="0" fontId="11" fillId="0" borderId="1" xfId="0" applyFont="1" applyBorder="1"/>
    <xf numFmtId="0" fontId="12" fillId="0" borderId="6" xfId="0" applyFont="1" applyBorder="1"/>
    <xf numFmtId="0" fontId="12" fillId="0" borderId="0" xfId="0" applyFont="1"/>
    <xf numFmtId="0" fontId="12" fillId="0" borderId="7" xfId="0" applyFont="1" applyBorder="1"/>
    <xf numFmtId="0" fontId="12" fillId="0" borderId="5" xfId="0" applyFont="1" applyBorder="1"/>
    <xf numFmtId="0" fontId="13" fillId="0" borderId="0" xfId="0" applyFont="1"/>
    <xf numFmtId="0" fontId="13" fillId="0" borderId="10" xfId="0" applyFont="1" applyBorder="1" applyAlignment="1">
      <alignment horizontal="center" vertical="center" wrapText="1"/>
    </xf>
    <xf numFmtId="0" fontId="0" fillId="0" borderId="0" xfId="0" applyFont="1"/>
    <xf numFmtId="0" fontId="15" fillId="0" borderId="0" xfId="0" applyFont="1"/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3" fillId="0" borderId="1" xfId="0" applyFont="1" applyBorder="1" applyAlignment="1">
      <alignment vertical="top" wrapText="1"/>
    </xf>
    <xf numFmtId="0" fontId="16" fillId="0" borderId="0" xfId="0" applyFont="1"/>
    <xf numFmtId="0" fontId="18" fillId="0" borderId="0" xfId="0" applyFont="1"/>
    <xf numFmtId="0" fontId="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9" fillId="0" borderId="1" xfId="0" applyFont="1" applyBorder="1"/>
    <xf numFmtId="0" fontId="13" fillId="0" borderId="1" xfId="0" applyFont="1" applyBorder="1" applyAlignment="1">
      <alignment horizontal="center"/>
    </xf>
    <xf numFmtId="0" fontId="21" fillId="0" borderId="0" xfId="0" applyFont="1"/>
    <xf numFmtId="0" fontId="13" fillId="2" borderId="10" xfId="0" applyFont="1" applyFill="1" applyBorder="1" applyAlignment="1">
      <alignment vertical="center" wrapText="1"/>
    </xf>
    <xf numFmtId="0" fontId="13" fillId="2" borderId="12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wrapText="1"/>
    </xf>
    <xf numFmtId="0" fontId="22" fillId="0" borderId="1" xfId="0" applyFont="1" applyBorder="1"/>
    <xf numFmtId="0" fontId="23" fillId="0" borderId="0" xfId="0" applyFont="1"/>
    <xf numFmtId="0" fontId="22" fillId="0" borderId="0" xfId="0" applyFont="1" applyFill="1" applyBorder="1"/>
    <xf numFmtId="0" fontId="22" fillId="0" borderId="0" xfId="0" applyFont="1"/>
    <xf numFmtId="0" fontId="4" fillId="0" borderId="13" xfId="0" applyFont="1" applyBorder="1" applyAlignment="1">
      <alignment wrapText="1"/>
    </xf>
    <xf numFmtId="0" fontId="4" fillId="0" borderId="15" xfId="0" applyFont="1" applyBorder="1"/>
    <xf numFmtId="0" fontId="1" fillId="0" borderId="6" xfId="0" applyFont="1" applyBorder="1"/>
    <xf numFmtId="0" fontId="1" fillId="0" borderId="8" xfId="0" applyFont="1" applyBorder="1"/>
    <xf numFmtId="0" fontId="4" fillId="0" borderId="7" xfId="0" applyFont="1" applyBorder="1"/>
    <xf numFmtId="0" fontId="16" fillId="0" borderId="1" xfId="0" applyFont="1" applyFill="1" applyBorder="1"/>
    <xf numFmtId="0" fontId="24" fillId="0" borderId="19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justify" vertical="center" wrapText="1"/>
    </xf>
    <xf numFmtId="0" fontId="27" fillId="0" borderId="20" xfId="0" applyFont="1" applyBorder="1" applyAlignment="1">
      <alignment horizontal="right"/>
    </xf>
    <xf numFmtId="0" fontId="27" fillId="0" borderId="21" xfId="0" applyFont="1" applyBorder="1"/>
    <xf numFmtId="0" fontId="27" fillId="0" borderId="22" xfId="0" applyFont="1" applyBorder="1" applyAlignment="1">
      <alignment horizontal="right"/>
    </xf>
    <xf numFmtId="0" fontId="27" fillId="0" borderId="19" xfId="0" applyFont="1" applyBorder="1"/>
    <xf numFmtId="0" fontId="26" fillId="0" borderId="0" xfId="0" applyFont="1" applyBorder="1" applyAlignment="1">
      <alignment horizontal="center" vertical="center" wrapText="1"/>
    </xf>
    <xf numFmtId="0" fontId="26" fillId="0" borderId="0" xfId="0" applyFont="1"/>
    <xf numFmtId="0" fontId="26" fillId="0" borderId="10" xfId="0" applyFont="1" applyBorder="1" applyAlignment="1">
      <alignment horizontal="right" vertical="center" wrapText="1"/>
    </xf>
    <xf numFmtId="0" fontId="26" fillId="0" borderId="11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justify" vertical="center" wrapText="1"/>
    </xf>
    <xf numFmtId="0" fontId="29" fillId="0" borderId="1" xfId="0" applyFont="1" applyBorder="1"/>
    <xf numFmtId="0" fontId="30" fillId="0" borderId="1" xfId="0" applyFont="1" applyBorder="1"/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justify" vertical="center" wrapText="1"/>
    </xf>
    <xf numFmtId="0" fontId="26" fillId="0" borderId="0" xfId="0" applyFont="1" applyBorder="1" applyAlignment="1">
      <alignment horizontal="right" vertical="center" wrapText="1"/>
    </xf>
    <xf numFmtId="0" fontId="19" fillId="0" borderId="0" xfId="0" applyFont="1" applyBorder="1" applyAlignment="1">
      <alignment horizontal="justify" vertical="center" wrapText="1"/>
    </xf>
    <xf numFmtId="0" fontId="29" fillId="0" borderId="0" xfId="0" applyFont="1" applyBorder="1"/>
    <xf numFmtId="0" fontId="24" fillId="0" borderId="0" xfId="0" applyFont="1"/>
    <xf numFmtId="0" fontId="32" fillId="0" borderId="20" xfId="0" applyFont="1" applyBorder="1"/>
    <xf numFmtId="0" fontId="0" fillId="0" borderId="21" xfId="0" applyBorder="1"/>
    <xf numFmtId="0" fontId="27" fillId="0" borderId="23" xfId="0" applyFont="1" applyBorder="1"/>
    <xf numFmtId="0" fontId="0" fillId="0" borderId="24" xfId="0" applyBorder="1"/>
    <xf numFmtId="0" fontId="31" fillId="0" borderId="20" xfId="0" applyFont="1" applyBorder="1"/>
    <xf numFmtId="0" fontId="19" fillId="0" borderId="23" xfId="0" applyFont="1" applyBorder="1"/>
    <xf numFmtId="0" fontId="19" fillId="0" borderId="24" xfId="0" applyFont="1" applyBorder="1"/>
    <xf numFmtId="0" fontId="17" fillId="0" borderId="20" xfId="0" applyFont="1" applyBorder="1"/>
    <xf numFmtId="0" fontId="17" fillId="0" borderId="22" xfId="0" applyFont="1" applyBorder="1"/>
    <xf numFmtId="0" fontId="33" fillId="0" borderId="20" xfId="0" applyFont="1" applyBorder="1"/>
    <xf numFmtId="0" fontId="34" fillId="0" borderId="25" xfId="0" applyFont="1" applyBorder="1"/>
    <xf numFmtId="0" fontId="34" fillId="0" borderId="21" xfId="0" applyFont="1" applyBorder="1"/>
    <xf numFmtId="0" fontId="33" fillId="0" borderId="23" xfId="0" applyFont="1" applyBorder="1"/>
    <xf numFmtId="0" fontId="33" fillId="0" borderId="0" xfId="0" applyFont="1" applyBorder="1"/>
    <xf numFmtId="0" fontId="33" fillId="0" borderId="24" xfId="0" applyFont="1" applyBorder="1"/>
    <xf numFmtId="0" fontId="33" fillId="0" borderId="22" xfId="0" applyFont="1" applyBorder="1"/>
    <xf numFmtId="0" fontId="33" fillId="0" borderId="26" xfId="0" applyFont="1" applyBorder="1"/>
    <xf numFmtId="0" fontId="33" fillId="0" borderId="19" xfId="0" applyFont="1" applyBorder="1"/>
    <xf numFmtId="0" fontId="35" fillId="0" borderId="25" xfId="0" applyFont="1" applyBorder="1"/>
    <xf numFmtId="0" fontId="35" fillId="0" borderId="26" xfId="0" applyFont="1" applyBorder="1"/>
    <xf numFmtId="0" fontId="36" fillId="0" borderId="13" xfId="0" applyFont="1" applyBorder="1"/>
    <xf numFmtId="0" fontId="36" fillId="0" borderId="14" xfId="0" applyFont="1" applyBorder="1"/>
    <xf numFmtId="0" fontId="36" fillId="0" borderId="15" xfId="0" applyFont="1" applyBorder="1"/>
    <xf numFmtId="0" fontId="37" fillId="0" borderId="0" xfId="0" applyFont="1"/>
    <xf numFmtId="0" fontId="17" fillId="0" borderId="21" xfId="0" applyFont="1" applyBorder="1"/>
    <xf numFmtId="0" fontId="17" fillId="0" borderId="15" xfId="0" applyFont="1" applyBorder="1"/>
    <xf numFmtId="0" fontId="38" fillId="0" borderId="13" xfId="0" applyFont="1" applyBorder="1"/>
    <xf numFmtId="0" fontId="0" fillId="0" borderId="14" xfId="0" applyBorder="1"/>
    <xf numFmtId="0" fontId="40" fillId="0" borderId="15" xfId="0" applyFont="1" applyBorder="1"/>
    <xf numFmtId="0" fontId="38" fillId="0" borderId="15" xfId="0" applyFont="1" applyBorder="1"/>
    <xf numFmtId="0" fontId="0" fillId="0" borderId="27" xfId="0" applyBorder="1"/>
    <xf numFmtId="0" fontId="47" fillId="0" borderId="0" xfId="0" applyFont="1" applyBorder="1"/>
    <xf numFmtId="0" fontId="38" fillId="0" borderId="28" xfId="0" applyFont="1" applyBorder="1"/>
    <xf numFmtId="0" fontId="0" fillId="0" borderId="29" xfId="0" applyBorder="1"/>
    <xf numFmtId="0" fontId="0" fillId="0" borderId="0" xfId="0" applyBorder="1"/>
    <xf numFmtId="0" fontId="0" fillId="0" borderId="30" xfId="0" applyBorder="1"/>
    <xf numFmtId="0" fontId="27" fillId="0" borderId="32" xfId="0" applyFont="1" applyBorder="1"/>
    <xf numFmtId="0" fontId="0" fillId="0" borderId="31" xfId="0" applyBorder="1"/>
    <xf numFmtId="0" fontId="47" fillId="0" borderId="33" xfId="0" applyFont="1" applyBorder="1"/>
    <xf numFmtId="0" fontId="47" fillId="0" borderId="31" xfId="0" applyFont="1" applyBorder="1"/>
    <xf numFmtId="0" fontId="47" fillId="0" borderId="34" xfId="0" applyFont="1" applyBorder="1"/>
    <xf numFmtId="0" fontId="1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24" fillId="0" borderId="6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13" fillId="0" borderId="4" xfId="0" applyFont="1" applyBorder="1"/>
    <xf numFmtId="0" fontId="19" fillId="0" borderId="4" xfId="0" applyFont="1" applyBorder="1"/>
    <xf numFmtId="0" fontId="16" fillId="0" borderId="4" xfId="0" applyFont="1" applyBorder="1" applyAlignment="1">
      <alignment horizontal="right"/>
    </xf>
    <xf numFmtId="0" fontId="16" fillId="0" borderId="4" xfId="0" applyFont="1" applyBorder="1"/>
    <xf numFmtId="0" fontId="49" fillId="0" borderId="1" xfId="0" applyFont="1" applyBorder="1" applyAlignment="1">
      <alignment wrapText="1"/>
    </xf>
    <xf numFmtId="0" fontId="49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333374</xdr:colOff>
      <xdr:row>8</xdr:row>
      <xdr:rowOff>114300</xdr:rowOff>
    </xdr:from>
    <xdr:to>
      <xdr:col>5</xdr:col>
      <xdr:colOff>581024</xdr:colOff>
      <xdr:row>9</xdr:row>
      <xdr:rowOff>38100</xdr:rowOff>
    </xdr:to>
    <xdr:sp macro="" textlink="">
      <xdr:nvSpPr>
        <xdr:cNvPr id="2" name="Выноска 1 1"/>
        <xdr:cNvSpPr/>
      </xdr:nvSpPr>
      <xdr:spPr>
        <a:xfrm>
          <a:off x="2524124" y="1714500"/>
          <a:ext cx="1514475" cy="333375"/>
        </a:xfrm>
        <a:prstGeom prst="borderCallout1">
          <a:avLst>
            <a:gd name="adj1" fmla="val 4464"/>
            <a:gd name="adj2" fmla="val 47312"/>
            <a:gd name="adj3" fmla="val -353215"/>
            <a:gd name="adj4" fmla="val 91273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B3:E3)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9525</xdr:colOff>
      <xdr:row>9</xdr:row>
      <xdr:rowOff>76200</xdr:rowOff>
    </xdr:from>
    <xdr:to>
      <xdr:col>6</xdr:col>
      <xdr:colOff>1000125</xdr:colOff>
      <xdr:row>10</xdr:row>
      <xdr:rowOff>209550</xdr:rowOff>
    </xdr:to>
    <xdr:sp macro="" textlink="">
      <xdr:nvSpPr>
        <xdr:cNvPr id="3" name="Выноска 1 2"/>
        <xdr:cNvSpPr/>
      </xdr:nvSpPr>
      <xdr:spPr>
        <a:xfrm>
          <a:off x="4381500" y="2085975"/>
          <a:ext cx="990600" cy="333375"/>
        </a:xfrm>
        <a:prstGeom prst="borderCallout1">
          <a:avLst>
            <a:gd name="adj1" fmla="val 4464"/>
            <a:gd name="adj2" fmla="val 47312"/>
            <a:gd name="adj3" fmla="val -461786"/>
            <a:gd name="adj4" fmla="val 768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=F3-$B$9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1295400</xdr:colOff>
      <xdr:row>13</xdr:row>
      <xdr:rowOff>57150</xdr:rowOff>
    </xdr:from>
    <xdr:to>
      <xdr:col>1</xdr:col>
      <xdr:colOff>361950</xdr:colOff>
      <xdr:row>14</xdr:row>
      <xdr:rowOff>190500</xdr:rowOff>
    </xdr:to>
    <xdr:sp macro="" textlink="">
      <xdr:nvSpPr>
        <xdr:cNvPr id="4" name="Выноска 1 3"/>
        <xdr:cNvSpPr/>
      </xdr:nvSpPr>
      <xdr:spPr>
        <a:xfrm>
          <a:off x="1295400" y="3105150"/>
          <a:ext cx="781050" cy="333375"/>
        </a:xfrm>
        <a:prstGeom prst="borderCallout1">
          <a:avLst>
            <a:gd name="adj1" fmla="val 4464"/>
            <a:gd name="adj2" fmla="val 47312"/>
            <a:gd name="adj3" fmla="val -98929"/>
            <a:gd name="adj4" fmla="val 65312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=H9/B9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114300</xdr:colOff>
      <xdr:row>12</xdr:row>
      <xdr:rowOff>19050</xdr:rowOff>
    </xdr:from>
    <xdr:to>
      <xdr:col>5</xdr:col>
      <xdr:colOff>704850</xdr:colOff>
      <xdr:row>13</xdr:row>
      <xdr:rowOff>152400</xdr:rowOff>
    </xdr:to>
    <xdr:sp macro="" textlink="">
      <xdr:nvSpPr>
        <xdr:cNvPr id="5" name="Выноска 1 4"/>
        <xdr:cNvSpPr/>
      </xdr:nvSpPr>
      <xdr:spPr>
        <a:xfrm>
          <a:off x="2724150" y="2867025"/>
          <a:ext cx="1438275" cy="333375"/>
        </a:xfrm>
        <a:prstGeom prst="borderCallout1">
          <a:avLst>
            <a:gd name="adj1" fmla="val 38750"/>
            <a:gd name="adj2" fmla="val 101617"/>
            <a:gd name="adj3" fmla="val 21071"/>
            <a:gd name="adj4" fmla="val 155378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=ABS(F3-$B$9)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38101</xdr:colOff>
      <xdr:row>14</xdr:row>
      <xdr:rowOff>123825</xdr:rowOff>
    </xdr:from>
    <xdr:to>
      <xdr:col>6</xdr:col>
      <xdr:colOff>200026</xdr:colOff>
      <xdr:row>16</xdr:row>
      <xdr:rowOff>57150</xdr:rowOff>
    </xdr:to>
    <xdr:sp macro="" textlink="">
      <xdr:nvSpPr>
        <xdr:cNvPr id="6" name="Выноска 1 5"/>
        <xdr:cNvSpPr/>
      </xdr:nvSpPr>
      <xdr:spPr>
        <a:xfrm>
          <a:off x="2647951" y="3371850"/>
          <a:ext cx="1924050" cy="333375"/>
        </a:xfrm>
        <a:prstGeom prst="borderCallout1">
          <a:avLst>
            <a:gd name="adj1" fmla="val 38750"/>
            <a:gd name="adj2" fmla="val 101617"/>
            <a:gd name="adj3" fmla="val 155356"/>
            <a:gd name="adj4" fmla="val 133134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G13:G17)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866775</xdr:colOff>
      <xdr:row>11</xdr:row>
      <xdr:rowOff>9525</xdr:rowOff>
    </xdr:from>
    <xdr:to>
      <xdr:col>8</xdr:col>
      <xdr:colOff>133350</xdr:colOff>
      <xdr:row>11</xdr:row>
      <xdr:rowOff>342900</xdr:rowOff>
    </xdr:to>
    <xdr:sp macro="" textlink="">
      <xdr:nvSpPr>
        <xdr:cNvPr id="7" name="Выноска 1 6"/>
        <xdr:cNvSpPr/>
      </xdr:nvSpPr>
      <xdr:spPr>
        <a:xfrm>
          <a:off x="5238750" y="2466975"/>
          <a:ext cx="1228725" cy="333375"/>
        </a:xfrm>
        <a:prstGeom prst="borderCallout1">
          <a:avLst>
            <a:gd name="adj1" fmla="val 4464"/>
            <a:gd name="adj2" fmla="val 47312"/>
            <a:gd name="adj3" fmla="val -161786"/>
            <a:gd name="adj4" fmla="val 56701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=(H8/5)^(1/2)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8</xdr:row>
      <xdr:rowOff>180975</xdr:rowOff>
    </xdr:from>
    <xdr:to>
      <xdr:col>10</xdr:col>
      <xdr:colOff>295275</xdr:colOff>
      <xdr:row>10</xdr:row>
      <xdr:rowOff>95250</xdr:rowOff>
    </xdr:to>
    <xdr:sp macro="" textlink="">
      <xdr:nvSpPr>
        <xdr:cNvPr id="2" name="Выноска 1 1"/>
        <xdr:cNvSpPr/>
      </xdr:nvSpPr>
      <xdr:spPr>
        <a:xfrm>
          <a:off x="5419725" y="1781175"/>
          <a:ext cx="1428750" cy="352425"/>
        </a:xfrm>
        <a:prstGeom prst="borderCallout1">
          <a:avLst>
            <a:gd name="adj1" fmla="val -5492"/>
            <a:gd name="adj2" fmla="val 47765"/>
            <a:gd name="adj3" fmla="val -355068"/>
            <a:gd name="adj4" fmla="val 22896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I3:L3)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371474</xdr:colOff>
      <xdr:row>9</xdr:row>
      <xdr:rowOff>104775</xdr:rowOff>
    </xdr:from>
    <xdr:to>
      <xdr:col>12</xdr:col>
      <xdr:colOff>638175</xdr:colOff>
      <xdr:row>11</xdr:row>
      <xdr:rowOff>19050</xdr:rowOff>
    </xdr:to>
    <xdr:sp macro="" textlink="">
      <xdr:nvSpPr>
        <xdr:cNvPr id="5" name="Выноска 1 4"/>
        <xdr:cNvSpPr/>
      </xdr:nvSpPr>
      <xdr:spPr>
        <a:xfrm>
          <a:off x="6924674" y="1943100"/>
          <a:ext cx="1828801" cy="314325"/>
        </a:xfrm>
        <a:prstGeom prst="borderCallout1">
          <a:avLst>
            <a:gd name="adj1" fmla="val -5492"/>
            <a:gd name="adj2" fmla="val 47765"/>
            <a:gd name="adj3" fmla="val -54167"/>
            <a:gd name="adj4" fmla="val 92314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M3:M7)</a:t>
          </a:r>
          <a:endParaRPr lang="ru-RU" sz="1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695326</xdr:colOff>
      <xdr:row>9</xdr:row>
      <xdr:rowOff>161925</xdr:rowOff>
    </xdr:from>
    <xdr:to>
      <xdr:col>14</xdr:col>
      <xdr:colOff>742950</xdr:colOff>
      <xdr:row>11</xdr:row>
      <xdr:rowOff>76200</xdr:rowOff>
    </xdr:to>
    <xdr:sp macro="" textlink="">
      <xdr:nvSpPr>
        <xdr:cNvPr id="6" name="Выноска 1 5"/>
        <xdr:cNvSpPr/>
      </xdr:nvSpPr>
      <xdr:spPr>
        <a:xfrm>
          <a:off x="8810626" y="2000250"/>
          <a:ext cx="1590674" cy="314325"/>
        </a:xfrm>
        <a:prstGeom prst="borderCallout1">
          <a:avLst>
            <a:gd name="adj1" fmla="val 6629"/>
            <a:gd name="adj2" fmla="val 15429"/>
            <a:gd name="adj3" fmla="val -463258"/>
            <a:gd name="adj4" fmla="val 20458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I3:L3)</a:t>
          </a:r>
          <a:endParaRPr lang="ru-RU" sz="1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752475</xdr:colOff>
      <xdr:row>14</xdr:row>
      <xdr:rowOff>133350</xdr:rowOff>
    </xdr:from>
    <xdr:to>
      <xdr:col>13</xdr:col>
      <xdr:colOff>457199</xdr:colOff>
      <xdr:row>16</xdr:row>
      <xdr:rowOff>38100</xdr:rowOff>
    </xdr:to>
    <xdr:sp macro="" textlink="">
      <xdr:nvSpPr>
        <xdr:cNvPr id="7" name="Выноска 1 6"/>
        <xdr:cNvSpPr/>
      </xdr:nvSpPr>
      <xdr:spPr>
        <a:xfrm>
          <a:off x="7496175" y="2990850"/>
          <a:ext cx="1590674" cy="390525"/>
        </a:xfrm>
        <a:prstGeom prst="borderCallout1">
          <a:avLst>
            <a:gd name="adj1" fmla="val 569"/>
            <a:gd name="adj2" fmla="val 13034"/>
            <a:gd name="adj3" fmla="val -640741"/>
            <a:gd name="adj4" fmla="val 173752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=ABS(M3-$M$9)</a:t>
          </a:r>
          <a:endParaRPr lang="ru-RU" sz="1400" b="1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</xdr:colOff>
      <xdr:row>15</xdr:row>
      <xdr:rowOff>171450</xdr:rowOff>
    </xdr:from>
    <xdr:to>
      <xdr:col>15</xdr:col>
      <xdr:colOff>190501</xdr:colOff>
      <xdr:row>17</xdr:row>
      <xdr:rowOff>85725</xdr:rowOff>
    </xdr:to>
    <xdr:sp macro="" textlink="">
      <xdr:nvSpPr>
        <xdr:cNvPr id="8" name="Выноска 1 7"/>
        <xdr:cNvSpPr/>
      </xdr:nvSpPr>
      <xdr:spPr>
        <a:xfrm>
          <a:off x="9658351" y="3238500"/>
          <a:ext cx="971550" cy="314325"/>
        </a:xfrm>
        <a:prstGeom prst="borderCallout1">
          <a:avLst>
            <a:gd name="adj1" fmla="val -5492"/>
            <a:gd name="adj2" fmla="val 47765"/>
            <a:gd name="adj3" fmla="val -54167"/>
            <a:gd name="adj4" fmla="val 92314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=Q12/M9</a:t>
          </a:r>
          <a:endParaRPr lang="ru-RU" sz="1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542924</xdr:colOff>
      <xdr:row>18</xdr:row>
      <xdr:rowOff>114300</xdr:rowOff>
    </xdr:from>
    <xdr:to>
      <xdr:col>6</xdr:col>
      <xdr:colOff>457199</xdr:colOff>
      <xdr:row>19</xdr:row>
      <xdr:rowOff>190500</xdr:rowOff>
    </xdr:to>
    <xdr:sp macro="" textlink="">
      <xdr:nvSpPr>
        <xdr:cNvPr id="9" name="Выноска 1 8"/>
        <xdr:cNvSpPr/>
      </xdr:nvSpPr>
      <xdr:spPr>
        <a:xfrm>
          <a:off x="2676524" y="4000500"/>
          <a:ext cx="1323975" cy="333375"/>
        </a:xfrm>
        <a:prstGeom prst="borderCallout1">
          <a:avLst>
            <a:gd name="adj1" fmla="val -5492"/>
            <a:gd name="adj2" fmla="val 47765"/>
            <a:gd name="adj3" fmla="val -231310"/>
            <a:gd name="adj4" fmla="val 22181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=5*(4-1)*M14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295275</xdr:colOff>
      <xdr:row>17</xdr:row>
      <xdr:rowOff>57150</xdr:rowOff>
    </xdr:from>
    <xdr:to>
      <xdr:col>13</xdr:col>
      <xdr:colOff>76200</xdr:colOff>
      <xdr:row>18</xdr:row>
      <xdr:rowOff>76200</xdr:rowOff>
    </xdr:to>
    <xdr:sp macro="" textlink="">
      <xdr:nvSpPr>
        <xdr:cNvPr id="10" name="Выноска 1 9"/>
        <xdr:cNvSpPr/>
      </xdr:nvSpPr>
      <xdr:spPr>
        <a:xfrm>
          <a:off x="7038975" y="3629025"/>
          <a:ext cx="1666875" cy="333375"/>
        </a:xfrm>
        <a:prstGeom prst="borderCallout1">
          <a:avLst>
            <a:gd name="adj1" fmla="val 40222"/>
            <a:gd name="adj2" fmla="val 1479"/>
            <a:gd name="adj3" fmla="val 45832"/>
            <a:gd name="adj4" fmla="val -2104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=ХИ2.ОБР(0,95;3)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5</xdr:row>
      <xdr:rowOff>161925</xdr:rowOff>
    </xdr:from>
    <xdr:to>
      <xdr:col>2</xdr:col>
      <xdr:colOff>428625</xdr:colOff>
      <xdr:row>7</xdr:row>
      <xdr:rowOff>85725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76200" y="1666875"/>
          <a:ext cx="1571625" cy="352425"/>
        </a:xfrm>
        <a:prstGeom prst="wedgeRoundRectCallout">
          <a:avLst>
            <a:gd name="adj1" fmla="val 165748"/>
            <a:gd name="adj2" fmla="val -322201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B2:E2)</a:t>
          </a:r>
          <a:endParaRPr lang="ru-RU" sz="1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514350</xdr:colOff>
      <xdr:row>6</xdr:row>
      <xdr:rowOff>95250</xdr:rowOff>
    </xdr:from>
    <xdr:to>
      <xdr:col>5</xdr:col>
      <xdr:colOff>133350</xdr:colOff>
      <xdr:row>8</xdr:row>
      <xdr:rowOff>66675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1733550" y="1838325"/>
          <a:ext cx="1571625" cy="352425"/>
        </a:xfrm>
        <a:prstGeom prst="wedgeRoundRectCallout">
          <a:avLst>
            <a:gd name="adj1" fmla="val 87566"/>
            <a:gd name="adj2" fmla="val -92471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4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F2:F5)</a:t>
          </a:r>
          <a:endParaRPr lang="ru-RU" sz="1400" b="1">
            <a:solidFill>
              <a:srgbClr val="C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619126</xdr:colOff>
      <xdr:row>6</xdr:row>
      <xdr:rowOff>133350</xdr:rowOff>
    </xdr:from>
    <xdr:to>
      <xdr:col>6</xdr:col>
      <xdr:colOff>390526</xdr:colOff>
      <xdr:row>8</xdr:row>
      <xdr:rowOff>104775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3790951" y="1876425"/>
          <a:ext cx="876300" cy="352425"/>
        </a:xfrm>
        <a:prstGeom prst="wedgeRoundRectCallout">
          <a:avLst>
            <a:gd name="adj1" fmla="val 32131"/>
            <a:gd name="adj2" fmla="val -405984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=F2/F$6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592667</xdr:colOff>
      <xdr:row>6</xdr:row>
      <xdr:rowOff>177800</xdr:rowOff>
    </xdr:from>
    <xdr:to>
      <xdr:col>8</xdr:col>
      <xdr:colOff>338667</xdr:colOff>
      <xdr:row>8</xdr:row>
      <xdr:rowOff>48684</xdr:rowOff>
    </xdr:to>
    <xdr:sp macro="" textlink="">
      <xdr:nvSpPr>
        <xdr:cNvPr id="3" name="Скругленная прямоугольная выноска 2"/>
        <xdr:cNvSpPr/>
      </xdr:nvSpPr>
      <xdr:spPr>
        <a:xfrm>
          <a:off x="592667" y="1638300"/>
          <a:ext cx="2391833" cy="357717"/>
        </a:xfrm>
        <a:prstGeom prst="wedgeRoundRectCallout">
          <a:avLst>
            <a:gd name="adj1" fmla="val 111465"/>
            <a:gd name="adj2" fmla="val -394513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=ПОИСКПОЗ(1;$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B2:$H2;0)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179917</xdr:colOff>
      <xdr:row>9</xdr:row>
      <xdr:rowOff>158750</xdr:rowOff>
    </xdr:from>
    <xdr:to>
      <xdr:col>10</xdr:col>
      <xdr:colOff>539751</xdr:colOff>
      <xdr:row>11</xdr:row>
      <xdr:rowOff>29634</xdr:rowOff>
    </xdr:to>
    <xdr:sp macro="" textlink="">
      <xdr:nvSpPr>
        <xdr:cNvPr id="7" name="Скругленная прямоугольная выноска 6"/>
        <xdr:cNvSpPr/>
      </xdr:nvSpPr>
      <xdr:spPr>
        <a:xfrm>
          <a:off x="2338917" y="2624667"/>
          <a:ext cx="2487084" cy="357717"/>
        </a:xfrm>
        <a:prstGeom prst="wedgeRoundRectCallout">
          <a:avLst>
            <a:gd name="adj1" fmla="val 39683"/>
            <a:gd name="adj2" fmla="val -61344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=ПОИСКПОЗ(1;$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B3:$H3;0)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529167</xdr:colOff>
      <xdr:row>9</xdr:row>
      <xdr:rowOff>201084</xdr:rowOff>
    </xdr:from>
    <xdr:to>
      <xdr:col>18</xdr:col>
      <xdr:colOff>10585</xdr:colOff>
      <xdr:row>11</xdr:row>
      <xdr:rowOff>71968</xdr:rowOff>
    </xdr:to>
    <xdr:sp macro="" textlink="">
      <xdr:nvSpPr>
        <xdr:cNvPr id="8" name="Скругленная прямоугольная выноска 7"/>
        <xdr:cNvSpPr/>
      </xdr:nvSpPr>
      <xdr:spPr>
        <a:xfrm>
          <a:off x="6656917" y="2667001"/>
          <a:ext cx="2550585" cy="357717"/>
        </a:xfrm>
        <a:prstGeom prst="wedgeRoundRectCallout">
          <a:avLst>
            <a:gd name="adj1" fmla="val 13126"/>
            <a:gd name="adj2" fmla="val -687411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=ПОИСКПОЗ(7;$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B2:$H2;0)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31749</xdr:colOff>
      <xdr:row>11</xdr:row>
      <xdr:rowOff>190500</xdr:rowOff>
    </xdr:from>
    <xdr:to>
      <xdr:col>14</xdr:col>
      <xdr:colOff>539750</xdr:colOff>
      <xdr:row>13</xdr:row>
      <xdr:rowOff>10584</xdr:rowOff>
    </xdr:to>
    <xdr:sp macro="" textlink="">
      <xdr:nvSpPr>
        <xdr:cNvPr id="10" name="Выноска 1 9"/>
        <xdr:cNvSpPr/>
      </xdr:nvSpPr>
      <xdr:spPr>
        <a:xfrm>
          <a:off x="5545666" y="3143250"/>
          <a:ext cx="1735667" cy="306917"/>
        </a:xfrm>
        <a:prstGeom prst="borderCallout1">
          <a:avLst>
            <a:gd name="adj1" fmla="val 1103"/>
            <a:gd name="adj2" fmla="val 45326"/>
            <a:gd name="adj3" fmla="val -411367"/>
            <a:gd name="adj4" fmla="val -40772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 b="1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600" b="1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K7:Q7)</a:t>
          </a:r>
          <a:endParaRPr lang="ru-RU" sz="1600" b="1">
            <a:solidFill>
              <a:srgbClr val="00B0F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1227667</xdr:colOff>
      <xdr:row>11</xdr:row>
      <xdr:rowOff>179917</xdr:rowOff>
    </xdr:from>
    <xdr:to>
      <xdr:col>11</xdr:col>
      <xdr:colOff>529166</xdr:colOff>
      <xdr:row>13</xdr:row>
      <xdr:rowOff>1</xdr:rowOff>
    </xdr:to>
    <xdr:sp macro="" textlink="">
      <xdr:nvSpPr>
        <xdr:cNvPr id="11" name="Выноска 1 10"/>
        <xdr:cNvSpPr/>
      </xdr:nvSpPr>
      <xdr:spPr>
        <a:xfrm>
          <a:off x="4254500" y="3132667"/>
          <a:ext cx="1174749" cy="306917"/>
        </a:xfrm>
        <a:prstGeom prst="borderCallout1">
          <a:avLst>
            <a:gd name="adj1" fmla="val -2345"/>
            <a:gd name="adj2" fmla="val 76035"/>
            <a:gd name="adj3" fmla="val -245850"/>
            <a:gd name="adj4" fmla="val 51498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</a:t>
          </a:r>
          <a:r>
            <a:rPr lang="en-US" sz="16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K7/$K$8</a:t>
          </a:r>
          <a:endParaRPr lang="ru-RU" sz="1600" b="1">
            <a:solidFill>
              <a:srgbClr val="C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1000125</xdr:colOff>
      <xdr:row>20</xdr:row>
      <xdr:rowOff>171450</xdr:rowOff>
    </xdr:from>
    <xdr:to>
      <xdr:col>1</xdr:col>
      <xdr:colOff>180975</xdr:colOff>
      <xdr:row>22</xdr:row>
      <xdr:rowOff>66675</xdr:rowOff>
    </xdr:to>
    <xdr:sp macro="" textlink="">
      <xdr:nvSpPr>
        <xdr:cNvPr id="2" name="Выноска 1 1"/>
        <xdr:cNvSpPr/>
      </xdr:nvSpPr>
      <xdr:spPr>
        <a:xfrm>
          <a:off x="1000125" y="6353175"/>
          <a:ext cx="1123950" cy="342900"/>
        </a:xfrm>
        <a:prstGeom prst="borderCallout1">
          <a:avLst>
            <a:gd name="adj1" fmla="val -3978"/>
            <a:gd name="adj2" fmla="val 67091"/>
            <a:gd name="adj3" fmla="val -229855"/>
            <a:gd name="adj4" fmla="val 89634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=B13*$i2</a:t>
          </a:r>
          <a:r>
            <a:rPr lang="ru-RU" sz="1400" b="1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xdr:txBody>
    </xdr:sp>
    <xdr:clientData/>
  </xdr:twoCellAnchor>
  <xdr:twoCellAnchor>
    <xdr:from>
      <xdr:col>1</xdr:col>
      <xdr:colOff>438150</xdr:colOff>
      <xdr:row>20</xdr:row>
      <xdr:rowOff>171450</xdr:rowOff>
    </xdr:from>
    <xdr:to>
      <xdr:col>2</xdr:col>
      <xdr:colOff>352425</xdr:colOff>
      <xdr:row>22</xdr:row>
      <xdr:rowOff>66675</xdr:rowOff>
    </xdr:to>
    <xdr:sp macro="" textlink="">
      <xdr:nvSpPr>
        <xdr:cNvPr id="3" name="Выноска 1 2"/>
        <xdr:cNvSpPr/>
      </xdr:nvSpPr>
      <xdr:spPr>
        <a:xfrm>
          <a:off x="2381250" y="6324600"/>
          <a:ext cx="1123950" cy="276225"/>
        </a:xfrm>
        <a:prstGeom prst="borderCallout1">
          <a:avLst>
            <a:gd name="adj1" fmla="val -530"/>
            <a:gd name="adj2" fmla="val 12854"/>
            <a:gd name="adj3" fmla="val -177077"/>
            <a:gd name="adj4" fmla="val 1082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=B14*$i2</a:t>
          </a:r>
          <a:r>
            <a:rPr lang="ru-RU" sz="1400" b="1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</a:t>
          </a:r>
          <a:endParaRPr lang="en-US" sz="1400" b="1">
            <a:solidFill>
              <a:srgbClr val="00B0F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400" b="1">
            <a:solidFill>
              <a:srgbClr val="00B0F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1571625</xdr:colOff>
      <xdr:row>22</xdr:row>
      <xdr:rowOff>171450</xdr:rowOff>
    </xdr:from>
    <xdr:to>
      <xdr:col>2</xdr:col>
      <xdr:colOff>95250</xdr:colOff>
      <xdr:row>24</xdr:row>
      <xdr:rowOff>66675</xdr:rowOff>
    </xdr:to>
    <xdr:sp macro="" textlink="">
      <xdr:nvSpPr>
        <xdr:cNvPr id="4" name="Выноска 1 3"/>
        <xdr:cNvSpPr/>
      </xdr:nvSpPr>
      <xdr:spPr>
        <a:xfrm>
          <a:off x="1571625" y="6800850"/>
          <a:ext cx="1676400" cy="390525"/>
        </a:xfrm>
        <a:prstGeom prst="borderCallout1">
          <a:avLst>
            <a:gd name="adj1" fmla="val -14323"/>
            <a:gd name="adj2" fmla="val 39559"/>
            <a:gd name="adj3" fmla="val -169423"/>
            <a:gd name="adj4" fmla="val 40934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4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B18:B19)</a:t>
          </a:r>
          <a:endParaRPr lang="ru-RU" sz="1400" b="1">
            <a:solidFill>
              <a:srgbClr val="C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="130" zoomScaleNormal="130" workbookViewId="0">
      <selection sqref="A1:A2"/>
    </sheetView>
  </sheetViews>
  <sheetFormatPr defaultRowHeight="15.75"/>
  <cols>
    <col min="1" max="1" width="25.7109375" style="1" customWidth="1"/>
    <col min="2" max="2" width="7.140625" style="1" customWidth="1"/>
    <col min="3" max="3" width="6.28515625" style="1" customWidth="1"/>
    <col min="4" max="4" width="6.5703125" style="1" customWidth="1"/>
    <col min="5" max="5" width="6.140625" style="1" customWidth="1"/>
    <col min="6" max="6" width="13.7109375" style="1" customWidth="1"/>
    <col min="7" max="7" width="17.140625" style="1" customWidth="1"/>
    <col min="8" max="8" width="12.28515625" style="1" customWidth="1"/>
    <col min="9" max="16384" width="9.140625" style="1"/>
  </cols>
  <sheetData>
    <row r="1" spans="1:8">
      <c r="A1" s="121" t="s">
        <v>52</v>
      </c>
      <c r="B1" s="123" t="s">
        <v>49</v>
      </c>
      <c r="C1" s="124"/>
      <c r="D1" s="124"/>
      <c r="E1" s="125"/>
      <c r="F1" s="126" t="s">
        <v>9</v>
      </c>
      <c r="G1" s="126" t="s">
        <v>10</v>
      </c>
      <c r="H1" s="128" t="s">
        <v>11</v>
      </c>
    </row>
    <row r="2" spans="1:8">
      <c r="A2" s="122"/>
      <c r="B2" s="2" t="s">
        <v>5</v>
      </c>
      <c r="C2" s="2" t="s">
        <v>6</v>
      </c>
      <c r="D2" s="2" t="s">
        <v>7</v>
      </c>
      <c r="E2" s="2" t="s">
        <v>8</v>
      </c>
      <c r="F2" s="127"/>
      <c r="G2" s="127"/>
      <c r="H2" s="128"/>
    </row>
    <row r="3" spans="1:8">
      <c r="A3" s="2" t="s">
        <v>0</v>
      </c>
      <c r="B3" s="3">
        <v>1</v>
      </c>
      <c r="C3" s="3">
        <v>1.5</v>
      </c>
      <c r="D3" s="3">
        <v>2</v>
      </c>
      <c r="E3" s="3">
        <v>1</v>
      </c>
      <c r="F3" s="3">
        <f>SUM(B3:E3)</f>
        <v>5.5</v>
      </c>
      <c r="G3" s="3">
        <f>F3-$B$9</f>
        <v>-6.5</v>
      </c>
      <c r="H3" s="3">
        <f>G3^2</f>
        <v>42.25</v>
      </c>
    </row>
    <row r="4" spans="1:8">
      <c r="A4" s="2" t="s">
        <v>1</v>
      </c>
      <c r="B4" s="3">
        <v>3</v>
      </c>
      <c r="C4" s="3">
        <v>1.5</v>
      </c>
      <c r="D4" s="3">
        <v>1</v>
      </c>
      <c r="E4" s="3">
        <v>2</v>
      </c>
      <c r="F4" s="3">
        <f t="shared" ref="F4:F7" si="0">SUM(B4:E4)</f>
        <v>7.5</v>
      </c>
      <c r="G4" s="3">
        <f t="shared" ref="G4:G7" si="1">F4-$B$9</f>
        <v>-4.5</v>
      </c>
      <c r="H4" s="3">
        <f t="shared" ref="H4:H7" si="2">G4^2</f>
        <v>20.25</v>
      </c>
    </row>
    <row r="5" spans="1:8">
      <c r="A5" s="2" t="s">
        <v>2</v>
      </c>
      <c r="B5" s="3">
        <v>2</v>
      </c>
      <c r="C5" s="3">
        <v>3</v>
      </c>
      <c r="D5" s="3">
        <v>3</v>
      </c>
      <c r="E5" s="3">
        <v>3.5</v>
      </c>
      <c r="F5" s="3">
        <f t="shared" si="0"/>
        <v>11.5</v>
      </c>
      <c r="G5" s="3">
        <f t="shared" si="1"/>
        <v>-0.5</v>
      </c>
      <c r="H5" s="3">
        <f t="shared" si="2"/>
        <v>0.25</v>
      </c>
    </row>
    <row r="6" spans="1:8">
      <c r="A6" s="2" t="s">
        <v>3</v>
      </c>
      <c r="B6" s="3">
        <v>4</v>
      </c>
      <c r="C6" s="3">
        <v>5</v>
      </c>
      <c r="D6" s="3">
        <v>4</v>
      </c>
      <c r="E6" s="3">
        <v>3.5</v>
      </c>
      <c r="F6" s="3">
        <f t="shared" si="0"/>
        <v>16.5</v>
      </c>
      <c r="G6" s="3">
        <f t="shared" si="1"/>
        <v>4.5</v>
      </c>
      <c r="H6" s="3">
        <f t="shared" si="2"/>
        <v>20.25</v>
      </c>
    </row>
    <row r="7" spans="1:8">
      <c r="A7" s="2" t="s">
        <v>4</v>
      </c>
      <c r="B7" s="3">
        <v>5</v>
      </c>
      <c r="C7" s="3">
        <v>4</v>
      </c>
      <c r="D7" s="3">
        <v>5</v>
      </c>
      <c r="E7" s="3">
        <v>5</v>
      </c>
      <c r="F7" s="3">
        <f t="shared" si="0"/>
        <v>19</v>
      </c>
      <c r="G7" s="3">
        <f t="shared" si="1"/>
        <v>7</v>
      </c>
      <c r="H7" s="3">
        <f t="shared" si="2"/>
        <v>49</v>
      </c>
    </row>
    <row r="8" spans="1:8">
      <c r="A8" s="2" t="s">
        <v>12</v>
      </c>
      <c r="B8" s="3">
        <f>SUM(B3:B7)</f>
        <v>15</v>
      </c>
      <c r="C8" s="3">
        <f t="shared" ref="C8:H8" si="3">SUM(C3:C7)</f>
        <v>15</v>
      </c>
      <c r="D8" s="3">
        <f t="shared" si="3"/>
        <v>15</v>
      </c>
      <c r="E8" s="3">
        <f t="shared" si="3"/>
        <v>15</v>
      </c>
      <c r="F8" s="3">
        <f t="shared" si="3"/>
        <v>60</v>
      </c>
      <c r="G8" s="3">
        <f t="shared" si="3"/>
        <v>0</v>
      </c>
      <c r="H8" s="3">
        <f t="shared" si="3"/>
        <v>132</v>
      </c>
    </row>
    <row r="9" spans="1:8" ht="32.25">
      <c r="A9" s="48" t="s">
        <v>13</v>
      </c>
      <c r="B9" s="49">
        <f>AVERAGE(F3:F7)</f>
        <v>12</v>
      </c>
      <c r="G9" s="39" t="s">
        <v>16</v>
      </c>
      <c r="H9" s="39">
        <f>(H8/5)^(1/2)</f>
        <v>5.1380930314660516</v>
      </c>
    </row>
    <row r="10" spans="1:8">
      <c r="A10" s="7" t="s">
        <v>14</v>
      </c>
    </row>
    <row r="11" spans="1:8" ht="19.5" thickBot="1">
      <c r="A11" s="5" t="s">
        <v>15</v>
      </c>
      <c r="F11" s="40">
        <f>12*H8/(4^2*(5^3-5))</f>
        <v>0.82499999999999996</v>
      </c>
    </row>
    <row r="12" spans="1:8" ht="32.25" thickBot="1">
      <c r="A12" s="53" t="s">
        <v>48</v>
      </c>
      <c r="B12" s="54">
        <f>H9/B9</f>
        <v>0.42817441928883765</v>
      </c>
      <c r="G12" s="55" t="s">
        <v>17</v>
      </c>
    </row>
    <row r="13" spans="1:8">
      <c r="G13" s="56">
        <f>ABS(F3-$B$9)</f>
        <v>6.5</v>
      </c>
    </row>
    <row r="14" spans="1:8">
      <c r="G14" s="56">
        <f t="shared" ref="G14:G17" si="4">ABS(F4-$B$9)</f>
        <v>4.5</v>
      </c>
    </row>
    <row r="15" spans="1:8">
      <c r="G15" s="56">
        <f t="shared" si="4"/>
        <v>0.5</v>
      </c>
    </row>
    <row r="16" spans="1:8">
      <c r="G16" s="56">
        <f t="shared" si="4"/>
        <v>4.5</v>
      </c>
    </row>
    <row r="17" spans="1:7">
      <c r="A17" s="50"/>
      <c r="G17" s="56">
        <f t="shared" si="4"/>
        <v>7</v>
      </c>
    </row>
    <row r="18" spans="1:7" ht="16.5" thickBot="1">
      <c r="F18" s="6" t="s">
        <v>18</v>
      </c>
      <c r="G18" s="57">
        <f>AVERAGE(G13:G17)</f>
        <v>4.5999999999999996</v>
      </c>
    </row>
  </sheetData>
  <mergeCells count="5">
    <mergeCell ref="A1:A2"/>
    <mergeCell ref="B1:E1"/>
    <mergeCell ref="F1:F2"/>
    <mergeCell ref="G1:G2"/>
    <mergeCell ref="H1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zoomScaleNormal="100" workbookViewId="0">
      <selection activeCell="G24" sqref="G24"/>
    </sheetView>
  </sheetViews>
  <sheetFormatPr defaultRowHeight="15"/>
  <cols>
    <col min="1" max="1" width="13.7109375" customWidth="1"/>
    <col min="6" max="6" width="2.85546875" customWidth="1"/>
    <col min="7" max="7" width="11.42578125" customWidth="1"/>
    <col min="12" max="12" width="14.28515625" customWidth="1"/>
    <col min="13" max="13" width="14" customWidth="1"/>
    <col min="15" max="15" width="11.7109375" customWidth="1"/>
    <col min="16" max="16" width="11.28515625" customWidth="1"/>
  </cols>
  <sheetData>
    <row r="1" spans="1:17" ht="15.75">
      <c r="A1" s="129" t="s">
        <v>52</v>
      </c>
      <c r="B1" s="130" t="s">
        <v>30</v>
      </c>
      <c r="C1" s="130"/>
      <c r="D1" s="130"/>
      <c r="E1" s="130"/>
      <c r="G1" t="s">
        <v>19</v>
      </c>
      <c r="H1" s="129" t="s">
        <v>52</v>
      </c>
      <c r="I1" s="130" t="s">
        <v>29</v>
      </c>
      <c r="J1" s="130"/>
      <c r="K1" s="130"/>
      <c r="L1" s="130"/>
      <c r="M1" t="s">
        <v>27</v>
      </c>
      <c r="N1" s="11" t="s">
        <v>20</v>
      </c>
      <c r="P1" s="20" t="s">
        <v>17</v>
      </c>
      <c r="Q1" s="18" t="s">
        <v>21</v>
      </c>
    </row>
    <row r="2" spans="1:17" ht="15.75">
      <c r="A2" s="129"/>
      <c r="B2" s="2" t="s">
        <v>5</v>
      </c>
      <c r="C2" s="2" t="s">
        <v>6</v>
      </c>
      <c r="D2" s="2" t="s">
        <v>7</v>
      </c>
      <c r="E2" s="2" t="s">
        <v>8</v>
      </c>
      <c r="H2" s="129"/>
      <c r="I2" s="2" t="s">
        <v>5</v>
      </c>
      <c r="J2" s="2" t="s">
        <v>6</v>
      </c>
      <c r="K2" s="2" t="s">
        <v>7</v>
      </c>
      <c r="L2" s="2" t="s">
        <v>8</v>
      </c>
      <c r="N2" s="11"/>
      <c r="P2" s="21" t="s">
        <v>32</v>
      </c>
      <c r="Q2" s="19"/>
    </row>
    <row r="3" spans="1:17" ht="15.75">
      <c r="A3" s="3" t="s">
        <v>0</v>
      </c>
      <c r="B3" s="3">
        <v>1</v>
      </c>
      <c r="C3" s="3">
        <v>1.5</v>
      </c>
      <c r="D3" s="3">
        <v>2</v>
      </c>
      <c r="E3" s="3">
        <v>1</v>
      </c>
      <c r="H3" s="3" t="s">
        <v>0</v>
      </c>
      <c r="I3" s="3">
        <f t="shared" ref="I3:L7" si="0">B13/B$18</f>
        <v>0.4</v>
      </c>
      <c r="J3" s="3">
        <f t="shared" si="0"/>
        <v>0.35</v>
      </c>
      <c r="K3" s="3">
        <f t="shared" si="0"/>
        <v>0.3</v>
      </c>
      <c r="L3" s="3">
        <f t="shared" si="0"/>
        <v>0.4</v>
      </c>
      <c r="M3" s="10">
        <f>SUM(I3:L3)</f>
        <v>1.4500000000000002</v>
      </c>
      <c r="N3" s="12">
        <f>AVERAGE(I3:L3)</f>
        <v>0.36250000000000004</v>
      </c>
      <c r="P3" s="22">
        <f>ABS(M3-$M$9)</f>
        <v>0.65000000000000013</v>
      </c>
      <c r="Q3" s="23">
        <f>P3^2</f>
        <v>0.42250000000000015</v>
      </c>
    </row>
    <row r="4" spans="1:17" ht="15.75">
      <c r="A4" s="3" t="s">
        <v>1</v>
      </c>
      <c r="B4" s="3">
        <v>3</v>
      </c>
      <c r="C4" s="3">
        <v>1.5</v>
      </c>
      <c r="D4" s="3">
        <v>1</v>
      </c>
      <c r="E4" s="3">
        <v>2</v>
      </c>
      <c r="H4" s="3" t="s">
        <v>1</v>
      </c>
      <c r="I4" s="3">
        <f t="shared" si="0"/>
        <v>0.2</v>
      </c>
      <c r="J4" s="3">
        <f t="shared" si="0"/>
        <v>0.35</v>
      </c>
      <c r="K4" s="3">
        <f t="shared" si="0"/>
        <v>0.4</v>
      </c>
      <c r="L4" s="3">
        <f t="shared" si="0"/>
        <v>0.3</v>
      </c>
      <c r="M4" s="10">
        <f t="shared" ref="M4:M7" si="1">SUM(I4:L4)</f>
        <v>1.25</v>
      </c>
      <c r="N4" s="12">
        <f t="shared" ref="N4:N7" si="2">AVERAGE(I4:L4)</f>
        <v>0.3125</v>
      </c>
      <c r="P4" s="22">
        <f t="shared" ref="P4:P7" si="3">ABS(M4-$M$9)</f>
        <v>0.44999999999999996</v>
      </c>
      <c r="Q4" s="23">
        <f t="shared" ref="Q4:Q7" si="4">P4^2</f>
        <v>0.20249999999999996</v>
      </c>
    </row>
    <row r="5" spans="1:17" ht="15.75">
      <c r="A5" s="3" t="s">
        <v>2</v>
      </c>
      <c r="B5" s="3">
        <v>2</v>
      </c>
      <c r="C5" s="3">
        <v>3</v>
      </c>
      <c r="D5" s="3">
        <v>3</v>
      </c>
      <c r="E5" s="3">
        <v>3.5</v>
      </c>
      <c r="H5" s="3" t="s">
        <v>2</v>
      </c>
      <c r="I5" s="3">
        <f t="shared" si="0"/>
        <v>0.3</v>
      </c>
      <c r="J5" s="3">
        <f t="shared" si="0"/>
        <v>0.2</v>
      </c>
      <c r="K5" s="3">
        <f t="shared" si="0"/>
        <v>0.2</v>
      </c>
      <c r="L5" s="3">
        <f t="shared" si="0"/>
        <v>0.15</v>
      </c>
      <c r="M5" s="10">
        <f t="shared" si="1"/>
        <v>0.85</v>
      </c>
      <c r="N5" s="12">
        <f t="shared" si="2"/>
        <v>0.21249999999999999</v>
      </c>
      <c r="P5" s="22">
        <f t="shared" si="3"/>
        <v>4.9999999999999933E-2</v>
      </c>
      <c r="Q5" s="23">
        <f t="shared" si="4"/>
        <v>2.4999999999999935E-3</v>
      </c>
    </row>
    <row r="6" spans="1:17" ht="15.75">
      <c r="A6" s="3" t="s">
        <v>3</v>
      </c>
      <c r="B6" s="3">
        <v>4</v>
      </c>
      <c r="C6" s="3">
        <v>5</v>
      </c>
      <c r="D6" s="3">
        <v>4</v>
      </c>
      <c r="E6" s="3">
        <v>3.5</v>
      </c>
      <c r="H6" s="3" t="s">
        <v>3</v>
      </c>
      <c r="I6" s="3">
        <f t="shared" si="0"/>
        <v>0.1</v>
      </c>
      <c r="J6" s="3">
        <f t="shared" si="0"/>
        <v>0</v>
      </c>
      <c r="K6" s="3">
        <f t="shared" si="0"/>
        <v>0.1</v>
      </c>
      <c r="L6" s="3">
        <f t="shared" si="0"/>
        <v>0.15</v>
      </c>
      <c r="M6" s="10">
        <f t="shared" si="1"/>
        <v>0.35</v>
      </c>
      <c r="N6" s="12">
        <f t="shared" si="2"/>
        <v>8.7499999999999994E-2</v>
      </c>
      <c r="P6" s="22">
        <f t="shared" si="3"/>
        <v>0.45000000000000007</v>
      </c>
      <c r="Q6" s="23">
        <f t="shared" si="4"/>
        <v>0.20250000000000007</v>
      </c>
    </row>
    <row r="7" spans="1:17" ht="15.75">
      <c r="A7" s="3" t="s">
        <v>4</v>
      </c>
      <c r="B7" s="3">
        <v>5</v>
      </c>
      <c r="C7" s="3">
        <v>4</v>
      </c>
      <c r="D7" s="3">
        <v>5</v>
      </c>
      <c r="E7" s="3">
        <v>5</v>
      </c>
      <c r="H7" s="3" t="s">
        <v>4</v>
      </c>
      <c r="I7" s="3">
        <f t="shared" si="0"/>
        <v>0</v>
      </c>
      <c r="J7" s="3">
        <f t="shared" si="0"/>
        <v>0.1</v>
      </c>
      <c r="K7" s="3">
        <f t="shared" si="0"/>
        <v>0</v>
      </c>
      <c r="L7" s="3">
        <f t="shared" si="0"/>
        <v>0</v>
      </c>
      <c r="M7" s="10">
        <f t="shared" si="1"/>
        <v>0.1</v>
      </c>
      <c r="N7" s="12">
        <f t="shared" si="2"/>
        <v>2.5000000000000001E-2</v>
      </c>
      <c r="P7" s="22">
        <f t="shared" si="3"/>
        <v>0.70000000000000007</v>
      </c>
      <c r="Q7" s="23">
        <f t="shared" si="4"/>
        <v>0.4900000000000001</v>
      </c>
    </row>
    <row r="8" spans="1:17" ht="15.75">
      <c r="A8" s="3" t="s">
        <v>12</v>
      </c>
      <c r="B8" s="3">
        <f>SUM(B3:B7)</f>
        <v>15</v>
      </c>
      <c r="C8" s="3">
        <f t="shared" ref="C8:E8" si="5">SUM(C3:C7)</f>
        <v>15</v>
      </c>
      <c r="D8" s="3">
        <f t="shared" si="5"/>
        <v>15</v>
      </c>
      <c r="E8" s="3">
        <f t="shared" si="5"/>
        <v>15</v>
      </c>
      <c r="H8" s="14" t="s">
        <v>12</v>
      </c>
      <c r="I8" s="14">
        <f>SUM(I3:I7)</f>
        <v>1.0000000000000002</v>
      </c>
      <c r="J8" s="14">
        <f t="shared" ref="J8:L8" si="6">SUM(J3:J7)</f>
        <v>0.99999999999999989</v>
      </c>
      <c r="K8" s="14">
        <f t="shared" si="6"/>
        <v>0.99999999999999989</v>
      </c>
      <c r="L8" s="15">
        <f t="shared" si="6"/>
        <v>1</v>
      </c>
      <c r="M8" s="10"/>
      <c r="N8" s="13">
        <f t="shared" ref="N8" si="7">SUM(N3:N7)</f>
        <v>1</v>
      </c>
      <c r="P8" s="25" t="s">
        <v>23</v>
      </c>
      <c r="Q8" s="25">
        <f>SUM(Q3:Q7)</f>
        <v>1.3200000000000003</v>
      </c>
    </row>
    <row r="9" spans="1:17" ht="18.75">
      <c r="A9" s="8"/>
      <c r="B9" s="8"/>
      <c r="C9" s="8"/>
      <c r="D9" s="8"/>
      <c r="E9" s="8"/>
      <c r="L9" s="16" t="s">
        <v>28</v>
      </c>
      <c r="M9" s="58">
        <f>AVERAGE(M3:M7)</f>
        <v>0.8</v>
      </c>
      <c r="O9" s="17" t="s">
        <v>22</v>
      </c>
      <c r="P9" s="17">
        <f>AVERAGE(P3:P7)</f>
        <v>0.46000000000000008</v>
      </c>
    </row>
    <row r="10" spans="1:17" ht="15.75">
      <c r="A10" s="51" t="s">
        <v>51</v>
      </c>
      <c r="B10" s="52">
        <f>MAX(B3:E7)</f>
        <v>5</v>
      </c>
      <c r="D10" s="9" t="s">
        <v>50</v>
      </c>
    </row>
    <row r="11" spans="1:17" ht="15.75">
      <c r="A11" s="129" t="s">
        <v>52</v>
      </c>
      <c r="B11" s="130" t="s">
        <v>31</v>
      </c>
      <c r="C11" s="130"/>
      <c r="D11" s="130"/>
      <c r="E11" s="130"/>
      <c r="P11" s="24" t="s">
        <v>24</v>
      </c>
      <c r="Q11" s="24">
        <f>AVERAGE(Q3:Q7)</f>
        <v>0.26400000000000007</v>
      </c>
    </row>
    <row r="12" spans="1:17" ht="15.75">
      <c r="A12" s="129"/>
      <c r="B12" s="2" t="s">
        <v>5</v>
      </c>
      <c r="C12" s="2" t="s">
        <v>6</v>
      </c>
      <c r="D12" s="2" t="s">
        <v>7</v>
      </c>
      <c r="E12" s="2" t="s">
        <v>8</v>
      </c>
      <c r="P12" s="24" t="s">
        <v>16</v>
      </c>
      <c r="Q12" s="24">
        <f>Q11^(1/2)</f>
        <v>0.51380930314660522</v>
      </c>
    </row>
    <row r="13" spans="1:17" ht="16.5" thickBot="1">
      <c r="A13" s="3" t="s">
        <v>0</v>
      </c>
      <c r="B13" s="3">
        <f>$B$10-B3</f>
        <v>4</v>
      </c>
      <c r="C13" s="3">
        <f t="shared" ref="C13:E13" si="8">$B$10-C3</f>
        <v>3.5</v>
      </c>
      <c r="D13" s="3">
        <f t="shared" si="8"/>
        <v>3</v>
      </c>
      <c r="E13" s="3">
        <f t="shared" si="8"/>
        <v>4</v>
      </c>
      <c r="H13" s="4" t="s">
        <v>14</v>
      </c>
    </row>
    <row r="14" spans="1:17" ht="18" thickBot="1">
      <c r="A14" s="3" t="s">
        <v>1</v>
      </c>
      <c r="B14" s="3">
        <f t="shared" ref="B14:E14" si="9">$B$10-B4</f>
        <v>2</v>
      </c>
      <c r="C14" s="3">
        <f t="shared" si="9"/>
        <v>3.5</v>
      </c>
      <c r="D14" s="3">
        <f t="shared" si="9"/>
        <v>4</v>
      </c>
      <c r="E14" s="3">
        <f t="shared" si="9"/>
        <v>3</v>
      </c>
      <c r="H14" s="5" t="s">
        <v>100</v>
      </c>
      <c r="M14" s="24">
        <f>1200*Q8/(4*4*(5^3-5))</f>
        <v>0.82500000000000029</v>
      </c>
      <c r="O14" s="26" t="s">
        <v>25</v>
      </c>
      <c r="P14" s="27"/>
    </row>
    <row r="15" spans="1:17" ht="16.5" thickBot="1">
      <c r="A15" s="3" t="s">
        <v>2</v>
      </c>
      <c r="B15" s="3">
        <f t="shared" ref="B15:E15" si="10">$B$10-B5</f>
        <v>3</v>
      </c>
      <c r="C15" s="3">
        <f t="shared" si="10"/>
        <v>2</v>
      </c>
      <c r="D15" s="3">
        <f t="shared" si="10"/>
        <v>2</v>
      </c>
      <c r="E15" s="3">
        <f t="shared" si="10"/>
        <v>1.5</v>
      </c>
      <c r="O15" s="28" t="s">
        <v>26</v>
      </c>
      <c r="P15" s="29">
        <f>Q12/M9</f>
        <v>0.64226162893325645</v>
      </c>
    </row>
    <row r="16" spans="1:17" ht="21.75" thickBot="1">
      <c r="A16" s="3" t="s">
        <v>3</v>
      </c>
      <c r="B16" s="3">
        <f t="shared" ref="B16:E16" si="11">$B$10-B6</f>
        <v>1</v>
      </c>
      <c r="C16" s="3">
        <f t="shared" si="11"/>
        <v>0</v>
      </c>
      <c r="D16" s="3">
        <f t="shared" si="11"/>
        <v>1</v>
      </c>
      <c r="E16" s="3">
        <f t="shared" si="11"/>
        <v>1.5</v>
      </c>
      <c r="H16" s="106" t="s">
        <v>97</v>
      </c>
      <c r="I16" s="107"/>
      <c r="J16" s="108">
        <f>5*(4-1)*M14</f>
        <v>12.375000000000004</v>
      </c>
    </row>
    <row r="17" spans="1:15" ht="16.5" thickBot="1">
      <c r="A17" s="3" t="s">
        <v>4</v>
      </c>
      <c r="B17" s="3">
        <f t="shared" ref="B17:E17" si="12">$B$10-B7</f>
        <v>0</v>
      </c>
      <c r="C17" s="3">
        <f t="shared" si="12"/>
        <v>1</v>
      </c>
      <c r="D17" s="3">
        <f t="shared" si="12"/>
        <v>0</v>
      </c>
      <c r="E17" s="3">
        <f t="shared" si="12"/>
        <v>0</v>
      </c>
    </row>
    <row r="18" spans="1:15" ht="24.75" thickBot="1">
      <c r="A18" s="3" t="s">
        <v>12</v>
      </c>
      <c r="B18" s="3">
        <f>SUM(B13:B17)</f>
        <v>10</v>
      </c>
      <c r="C18" s="3">
        <f t="shared" ref="C18:E18" si="13">SUM(C13:C17)</f>
        <v>10</v>
      </c>
      <c r="D18" s="3">
        <f t="shared" si="13"/>
        <v>10</v>
      </c>
      <c r="E18" s="3">
        <f t="shared" si="13"/>
        <v>10</v>
      </c>
      <c r="H18" s="106" t="s">
        <v>98</v>
      </c>
      <c r="I18" s="107"/>
      <c r="J18" s="107"/>
      <c r="K18" s="109">
        <f>_xlfn.CHISQ.INV(0.95,3)</f>
        <v>7.8147279032511774</v>
      </c>
    </row>
    <row r="19" spans="1:15" ht="20.25" thickBot="1">
      <c r="H19" s="112"/>
      <c r="K19" s="113"/>
      <c r="L19" s="114"/>
    </row>
    <row r="20" spans="1:15" ht="24.75" thickTop="1" thickBot="1">
      <c r="H20" s="116" t="s">
        <v>99</v>
      </c>
      <c r="I20" s="118"/>
      <c r="J20" s="119"/>
      <c r="K20" s="111"/>
      <c r="L20" s="119"/>
      <c r="M20" s="118"/>
      <c r="N20" s="120"/>
      <c r="O20" s="115"/>
    </row>
    <row r="21" spans="1:15" ht="15.75" thickTop="1">
      <c r="H21" s="117"/>
      <c r="I21" s="114"/>
      <c r="J21" s="117"/>
      <c r="K21" s="117"/>
      <c r="L21" s="117"/>
      <c r="M21" s="114"/>
      <c r="N21" s="114"/>
    </row>
    <row r="26" spans="1:15">
      <c r="K26" s="110"/>
    </row>
  </sheetData>
  <mergeCells count="6">
    <mergeCell ref="H1:H2"/>
    <mergeCell ref="I1:L1"/>
    <mergeCell ref="A1:A2"/>
    <mergeCell ref="B1:E1"/>
    <mergeCell ref="A11:A12"/>
    <mergeCell ref="B11:E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160" zoomScaleNormal="160" workbookViewId="0">
      <selection activeCell="E5" sqref="E5"/>
    </sheetView>
  </sheetViews>
  <sheetFormatPr defaultRowHeight="15"/>
  <cols>
    <col min="1" max="4" width="9.140625" style="32"/>
    <col min="5" max="5" width="11" style="32" customWidth="1"/>
    <col min="6" max="6" width="16.5703125" style="32" customWidth="1"/>
    <col min="7" max="7" width="22" style="32" customWidth="1"/>
    <col min="8" max="16384" width="9.140625" style="32"/>
  </cols>
  <sheetData>
    <row r="1" spans="1:7" ht="45.75" customHeight="1">
      <c r="A1" s="31" t="s">
        <v>33</v>
      </c>
      <c r="B1" s="31" t="s">
        <v>34</v>
      </c>
      <c r="C1" s="31" t="s">
        <v>35</v>
      </c>
      <c r="D1" s="31" t="s">
        <v>36</v>
      </c>
      <c r="E1" s="34" t="s">
        <v>37</v>
      </c>
      <c r="F1" s="41" t="s">
        <v>38</v>
      </c>
      <c r="G1" s="38" t="s">
        <v>40</v>
      </c>
    </row>
    <row r="2" spans="1:7" ht="20.25">
      <c r="A2" s="31" t="s">
        <v>34</v>
      </c>
      <c r="B2" s="46"/>
      <c r="C2" s="31">
        <v>1</v>
      </c>
      <c r="D2" s="31">
        <v>1</v>
      </c>
      <c r="E2" s="34">
        <v>1</v>
      </c>
      <c r="F2" s="36">
        <f>SUM(B2:E2)</f>
        <v>3</v>
      </c>
      <c r="G2" s="35">
        <f>F2/F$6</f>
        <v>0.5</v>
      </c>
    </row>
    <row r="3" spans="1:7" ht="20.25">
      <c r="A3" s="31" t="s">
        <v>35</v>
      </c>
      <c r="B3" s="31">
        <v>0</v>
      </c>
      <c r="C3" s="46"/>
      <c r="D3" s="31">
        <v>0</v>
      </c>
      <c r="E3" s="34">
        <v>0</v>
      </c>
      <c r="F3" s="36">
        <f t="shared" ref="F3:F5" si="0">SUM(B3:E3)</f>
        <v>0</v>
      </c>
      <c r="G3" s="35">
        <f t="shared" ref="G3:G5" si="1">F3/F$6</f>
        <v>0</v>
      </c>
    </row>
    <row r="4" spans="1:7" ht="20.25">
      <c r="A4" s="31" t="s">
        <v>36</v>
      </c>
      <c r="B4" s="31">
        <v>0</v>
      </c>
      <c r="C4" s="31">
        <v>1</v>
      </c>
      <c r="D4" s="46"/>
      <c r="E4" s="34">
        <v>1</v>
      </c>
      <c r="F4" s="36">
        <f t="shared" si="0"/>
        <v>2</v>
      </c>
      <c r="G4" s="35">
        <f t="shared" si="1"/>
        <v>0.33333333333333331</v>
      </c>
    </row>
    <row r="5" spans="1:7" ht="20.25">
      <c r="A5" s="31" t="s">
        <v>37</v>
      </c>
      <c r="B5" s="31">
        <v>0</v>
      </c>
      <c r="C5" s="31">
        <v>1</v>
      </c>
      <c r="D5" s="31">
        <v>0</v>
      </c>
      <c r="E5" s="47"/>
      <c r="F5" s="36">
        <f t="shared" si="0"/>
        <v>1</v>
      </c>
      <c r="G5" s="35">
        <f t="shared" si="1"/>
        <v>0.16666666666666666</v>
      </c>
    </row>
    <row r="6" spans="1:7" ht="18.75">
      <c r="A6" s="33"/>
      <c r="B6" s="33"/>
      <c r="C6" s="33"/>
      <c r="D6" s="33"/>
      <c r="E6" s="37" t="s">
        <v>39</v>
      </c>
      <c r="F6" s="37">
        <f>SUM(F2:F5)</f>
        <v>6</v>
      </c>
      <c r="G6" s="35"/>
    </row>
    <row r="7" spans="1:7">
      <c r="A7" s="33"/>
      <c r="B7" s="33"/>
      <c r="C7" s="33"/>
      <c r="D7" s="33"/>
      <c r="E7" s="33"/>
      <c r="F7" s="33"/>
    </row>
    <row r="8" spans="1:7">
      <c r="A8" s="33"/>
      <c r="B8" s="33"/>
      <c r="C8" s="33"/>
      <c r="D8" s="33"/>
      <c r="E8" s="33"/>
      <c r="F8" s="33"/>
    </row>
    <row r="9" spans="1:7">
      <c r="A9" s="33"/>
      <c r="B9" s="33"/>
      <c r="C9" s="33"/>
      <c r="D9" s="33"/>
      <c r="E9" s="33"/>
      <c r="F9" s="3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zoomScale="140" zoomScaleNormal="140" workbookViewId="0">
      <selection activeCell="AE26" sqref="AE26"/>
    </sheetView>
  </sheetViews>
  <sheetFormatPr defaultRowHeight="18.75"/>
  <cols>
    <col min="1" max="1" width="9.140625" style="30"/>
    <col min="2" max="2" width="3.5703125" style="30" bestFit="1" customWidth="1"/>
    <col min="3" max="3" width="5.5703125" style="30" bestFit="1" customWidth="1"/>
    <col min="4" max="5" width="3.5703125" style="30" bestFit="1" customWidth="1"/>
    <col min="6" max="6" width="6.7109375" style="30" customWidth="1"/>
    <col min="7" max="8" width="3.5703125" style="30" bestFit="1" customWidth="1"/>
    <col min="9" max="9" width="5.7109375" style="30" customWidth="1"/>
    <col min="10" max="10" width="18.85546875" style="30" customWidth="1"/>
    <col min="11" max="16384" width="9.140625" style="30"/>
  </cols>
  <sheetData>
    <row r="1" spans="1:17" ht="19.5">
      <c r="A1" s="43" t="s">
        <v>46</v>
      </c>
      <c r="B1" s="43">
        <v>1</v>
      </c>
      <c r="C1" s="43">
        <v>2</v>
      </c>
      <c r="D1" s="43">
        <v>3</v>
      </c>
      <c r="E1" s="43">
        <v>4</v>
      </c>
      <c r="F1" s="43">
        <v>5</v>
      </c>
      <c r="G1" s="43">
        <v>6</v>
      </c>
      <c r="H1" s="43">
        <v>7</v>
      </c>
      <c r="K1" s="43">
        <v>1</v>
      </c>
      <c r="L1" s="43">
        <v>2</v>
      </c>
      <c r="M1" s="43">
        <v>3</v>
      </c>
      <c r="N1" s="43">
        <v>4</v>
      </c>
      <c r="O1" s="43">
        <v>5</v>
      </c>
      <c r="P1" s="43">
        <v>6</v>
      </c>
      <c r="Q1" s="43">
        <v>7</v>
      </c>
    </row>
    <row r="2" spans="1:17">
      <c r="A2" s="44" t="s">
        <v>41</v>
      </c>
      <c r="B2" s="35">
        <v>5</v>
      </c>
      <c r="C2" s="35">
        <v>3</v>
      </c>
      <c r="D2" s="35">
        <v>2</v>
      </c>
      <c r="E2" s="35">
        <v>1</v>
      </c>
      <c r="F2" s="35">
        <v>6</v>
      </c>
      <c r="G2" s="35">
        <v>4</v>
      </c>
      <c r="H2" s="35">
        <v>7</v>
      </c>
      <c r="K2" s="35">
        <f>MATCH(1,$B2:$H2,0)</f>
        <v>4</v>
      </c>
      <c r="L2" s="35">
        <f>MATCH(2,$B2:$H2,0)</f>
        <v>3</v>
      </c>
      <c r="M2" s="35">
        <f>MATCH(3,$B2:$H2,0)</f>
        <v>2</v>
      </c>
      <c r="N2" s="35">
        <f>MATCH(4,$B2:$H2,0)</f>
        <v>6</v>
      </c>
      <c r="O2" s="35">
        <f>MATCH(5,$B2:$H2,0)</f>
        <v>1</v>
      </c>
      <c r="P2" s="35">
        <f>MATCH(6,$B2:$H2,0)</f>
        <v>5</v>
      </c>
      <c r="Q2" s="35">
        <f>MATCH(7,$B2:$H2,0)</f>
        <v>7</v>
      </c>
    </row>
    <row r="3" spans="1:17">
      <c r="A3" s="44" t="s">
        <v>42</v>
      </c>
      <c r="B3" s="35">
        <v>5</v>
      </c>
      <c r="C3" s="35">
        <v>3</v>
      </c>
      <c r="D3" s="35">
        <v>2</v>
      </c>
      <c r="E3" s="35">
        <v>6</v>
      </c>
      <c r="F3" s="35">
        <v>4</v>
      </c>
      <c r="G3" s="35">
        <v>1</v>
      </c>
      <c r="H3" s="35">
        <v>7</v>
      </c>
      <c r="K3" s="35">
        <f t="shared" ref="K3:K6" si="0">MATCH(1,$B3:$H3,0)</f>
        <v>6</v>
      </c>
      <c r="L3" s="35">
        <f t="shared" ref="L3:L6" si="1">MATCH(2,$B3:$H3,0)</f>
        <v>3</v>
      </c>
      <c r="M3" s="35">
        <f t="shared" ref="M3:M6" si="2">MATCH(3,$B3:$H3,0)</f>
        <v>2</v>
      </c>
      <c r="N3" s="35">
        <f t="shared" ref="N3:N6" si="3">MATCH(4,$B3:$H3,0)</f>
        <v>5</v>
      </c>
      <c r="O3" s="35">
        <f t="shared" ref="O3:O6" si="4">MATCH(5,$B3:$H3,0)</f>
        <v>1</v>
      </c>
      <c r="P3" s="35">
        <f t="shared" ref="P3:P6" si="5">MATCH(6,$B3:$H3,0)</f>
        <v>4</v>
      </c>
      <c r="Q3" s="35">
        <f t="shared" ref="Q3:Q6" si="6">MATCH(7,$B3:$H3,0)</f>
        <v>7</v>
      </c>
    </row>
    <row r="4" spans="1:17">
      <c r="A4" s="44" t="s">
        <v>43</v>
      </c>
      <c r="B4" s="35">
        <v>3</v>
      </c>
      <c r="C4" s="35">
        <v>2</v>
      </c>
      <c r="D4" s="35">
        <v>5</v>
      </c>
      <c r="E4" s="35">
        <v>1</v>
      </c>
      <c r="F4" s="35">
        <v>6</v>
      </c>
      <c r="G4" s="35">
        <v>4</v>
      </c>
      <c r="H4" s="35">
        <v>7</v>
      </c>
      <c r="K4" s="35">
        <f t="shared" si="0"/>
        <v>4</v>
      </c>
      <c r="L4" s="35">
        <f t="shared" si="1"/>
        <v>2</v>
      </c>
      <c r="M4" s="35">
        <f t="shared" si="2"/>
        <v>1</v>
      </c>
      <c r="N4" s="35">
        <f t="shared" si="3"/>
        <v>6</v>
      </c>
      <c r="O4" s="35">
        <f t="shared" si="4"/>
        <v>3</v>
      </c>
      <c r="P4" s="35">
        <f t="shared" si="5"/>
        <v>5</v>
      </c>
      <c r="Q4" s="35">
        <f t="shared" si="6"/>
        <v>7</v>
      </c>
    </row>
    <row r="5" spans="1:17">
      <c r="A5" s="44" t="s">
        <v>44</v>
      </c>
      <c r="B5" s="35">
        <v>5</v>
      </c>
      <c r="C5" s="35">
        <v>3</v>
      </c>
      <c r="D5" s="35">
        <v>2</v>
      </c>
      <c r="E5" s="35">
        <v>1</v>
      </c>
      <c r="F5" s="35">
        <v>4</v>
      </c>
      <c r="G5" s="35">
        <v>6</v>
      </c>
      <c r="H5" s="35">
        <v>7</v>
      </c>
      <c r="K5" s="35">
        <f t="shared" si="0"/>
        <v>4</v>
      </c>
      <c r="L5" s="35">
        <f t="shared" si="1"/>
        <v>3</v>
      </c>
      <c r="M5" s="35">
        <f t="shared" si="2"/>
        <v>2</v>
      </c>
      <c r="N5" s="35">
        <f t="shared" si="3"/>
        <v>5</v>
      </c>
      <c r="O5" s="35">
        <f t="shared" si="4"/>
        <v>1</v>
      </c>
      <c r="P5" s="35">
        <f t="shared" si="5"/>
        <v>6</v>
      </c>
      <c r="Q5" s="35">
        <f t="shared" si="6"/>
        <v>7</v>
      </c>
    </row>
    <row r="6" spans="1:17">
      <c r="A6" s="44" t="s">
        <v>45</v>
      </c>
      <c r="B6" s="35">
        <v>5</v>
      </c>
      <c r="C6" s="35">
        <v>3</v>
      </c>
      <c r="D6" s="35">
        <v>1</v>
      </c>
      <c r="E6" s="35">
        <v>2</v>
      </c>
      <c r="F6" s="35">
        <v>6</v>
      </c>
      <c r="G6" s="35">
        <v>4</v>
      </c>
      <c r="H6" s="35">
        <v>7</v>
      </c>
      <c r="K6" s="136">
        <f t="shared" si="0"/>
        <v>3</v>
      </c>
      <c r="L6" s="136">
        <f t="shared" si="1"/>
        <v>4</v>
      </c>
      <c r="M6" s="136">
        <f t="shared" si="2"/>
        <v>2</v>
      </c>
      <c r="N6" s="136">
        <f t="shared" si="3"/>
        <v>6</v>
      </c>
      <c r="O6" s="136">
        <f t="shared" si="4"/>
        <v>1</v>
      </c>
      <c r="P6" s="136">
        <f t="shared" si="5"/>
        <v>5</v>
      </c>
      <c r="Q6" s="136">
        <f t="shared" si="6"/>
        <v>7</v>
      </c>
    </row>
    <row r="7" spans="1:17" ht="19.5">
      <c r="A7" s="42"/>
      <c r="D7" s="45"/>
      <c r="J7" s="137" t="s">
        <v>101</v>
      </c>
      <c r="K7" s="137">
        <f>SUM(K2:K6)</f>
        <v>21</v>
      </c>
      <c r="L7" s="43">
        <f t="shared" ref="L7:Q7" si="7">SUM(L2:L6)</f>
        <v>15</v>
      </c>
      <c r="M7" s="43">
        <f t="shared" si="7"/>
        <v>9</v>
      </c>
      <c r="N7" s="43">
        <f t="shared" si="7"/>
        <v>28</v>
      </c>
      <c r="O7" s="43">
        <f t="shared" si="7"/>
        <v>7</v>
      </c>
      <c r="P7" s="43">
        <f t="shared" si="7"/>
        <v>25</v>
      </c>
      <c r="Q7" s="43">
        <f t="shared" si="7"/>
        <v>35</v>
      </c>
    </row>
    <row r="8" spans="1:17">
      <c r="J8" s="138" t="s">
        <v>47</v>
      </c>
      <c r="K8" s="139">
        <f>SUM(K7:Q7)</f>
        <v>140</v>
      </c>
    </row>
    <row r="9" spans="1:17" ht="40.5">
      <c r="J9" s="140" t="s">
        <v>102</v>
      </c>
      <c r="K9" s="141">
        <f>K7/$K$8</f>
        <v>0.15</v>
      </c>
      <c r="L9" s="141">
        <f t="shared" ref="L9:Q9" si="8">L7/$K$8</f>
        <v>0.10714285714285714</v>
      </c>
      <c r="M9" s="141">
        <f t="shared" si="8"/>
        <v>6.4285714285714279E-2</v>
      </c>
      <c r="N9" s="141">
        <f t="shared" si="8"/>
        <v>0.2</v>
      </c>
      <c r="O9" s="141">
        <f t="shared" si="8"/>
        <v>0.05</v>
      </c>
      <c r="P9" s="141">
        <f t="shared" si="8"/>
        <v>0.17857142857142858</v>
      </c>
      <c r="Q9" s="141">
        <f t="shared" si="8"/>
        <v>0.25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10" workbookViewId="0">
      <selection activeCell="C28" sqref="C28"/>
    </sheetView>
  </sheetViews>
  <sheetFormatPr defaultRowHeight="15"/>
  <cols>
    <col min="1" max="1" width="29.140625" customWidth="1"/>
    <col min="2" max="2" width="18.140625" customWidth="1"/>
    <col min="6" max="6" width="7.140625" customWidth="1"/>
    <col min="7" max="7" width="22.28515625" customWidth="1"/>
    <col min="9" max="9" width="12.7109375" customWidth="1"/>
  </cols>
  <sheetData>
    <row r="1" spans="1:8" ht="19.5" thickBot="1">
      <c r="A1" s="131" t="s">
        <v>53</v>
      </c>
      <c r="B1" s="133" t="s">
        <v>54</v>
      </c>
      <c r="C1" s="134"/>
      <c r="D1" s="134"/>
      <c r="E1" s="135"/>
      <c r="F1" s="74"/>
    </row>
    <row r="2" spans="1:8" ht="57" thickBot="1">
      <c r="A2" s="132"/>
      <c r="B2" s="59" t="s">
        <v>55</v>
      </c>
      <c r="C2" s="59" t="s">
        <v>56</v>
      </c>
      <c r="D2" s="59" t="s">
        <v>57</v>
      </c>
      <c r="E2" s="59" t="s">
        <v>58</v>
      </c>
      <c r="F2" s="74"/>
    </row>
    <row r="3" spans="1:8" ht="19.5" thickBot="1">
      <c r="A3" s="60" t="s">
        <v>59</v>
      </c>
      <c r="B3" s="61">
        <v>1</v>
      </c>
      <c r="C3" s="61" t="s">
        <v>60</v>
      </c>
      <c r="D3" s="61" t="s">
        <v>60</v>
      </c>
      <c r="E3" s="61" t="s">
        <v>60</v>
      </c>
      <c r="F3" s="67"/>
    </row>
    <row r="4" spans="1:8" ht="19.5" thickBot="1">
      <c r="A4" s="60" t="s">
        <v>61</v>
      </c>
      <c r="B4" s="61">
        <v>1</v>
      </c>
      <c r="C4" s="61">
        <v>1.5</v>
      </c>
      <c r="D4" s="61" t="s">
        <v>60</v>
      </c>
      <c r="E4" s="61" t="s">
        <v>60</v>
      </c>
      <c r="F4" s="67"/>
    </row>
    <row r="5" spans="1:8" ht="19.5" thickBot="1">
      <c r="A5" s="60" t="s">
        <v>62</v>
      </c>
      <c r="B5" s="61" t="s">
        <v>60</v>
      </c>
      <c r="C5" s="61">
        <v>2.25</v>
      </c>
      <c r="D5" s="61">
        <v>3</v>
      </c>
      <c r="E5" s="61" t="s">
        <v>60</v>
      </c>
      <c r="F5" s="67"/>
    </row>
    <row r="6" spans="1:8" ht="38.25" thickBot="1">
      <c r="A6" s="60" t="s">
        <v>63</v>
      </c>
      <c r="B6" s="61">
        <v>2</v>
      </c>
      <c r="C6" s="61">
        <v>3</v>
      </c>
      <c r="D6" s="61">
        <v>4</v>
      </c>
      <c r="E6" s="61">
        <v>6</v>
      </c>
      <c r="F6" s="67"/>
    </row>
    <row r="7" spans="1:8" ht="38.25" thickBot="1">
      <c r="A7" s="60" t="s">
        <v>64</v>
      </c>
      <c r="B7" s="61">
        <v>2.5</v>
      </c>
      <c r="C7" s="61">
        <v>3.75</v>
      </c>
      <c r="D7" s="61">
        <v>5</v>
      </c>
      <c r="E7" s="61">
        <v>7.5</v>
      </c>
      <c r="F7" s="67"/>
    </row>
    <row r="8" spans="1:8" ht="38.25" thickBot="1">
      <c r="A8" s="60" t="s">
        <v>65</v>
      </c>
      <c r="B8" s="61">
        <v>3</v>
      </c>
      <c r="C8" s="61">
        <v>4.5</v>
      </c>
      <c r="D8" s="61">
        <v>6</v>
      </c>
      <c r="E8" s="61">
        <v>9</v>
      </c>
      <c r="F8" s="67"/>
    </row>
    <row r="9" spans="1:8" ht="19.5" thickBot="1">
      <c r="A9" s="60" t="s">
        <v>66</v>
      </c>
      <c r="B9" s="61">
        <v>4</v>
      </c>
      <c r="C9" s="61">
        <v>6</v>
      </c>
      <c r="D9" s="61">
        <v>8</v>
      </c>
      <c r="E9" s="61">
        <v>12</v>
      </c>
      <c r="F9" s="67"/>
    </row>
    <row r="10" spans="1:8" ht="19.5" thickBot="1">
      <c r="A10" s="67"/>
      <c r="B10" s="67"/>
      <c r="C10" s="67"/>
      <c r="D10" s="67"/>
      <c r="E10" s="67"/>
      <c r="F10" s="67"/>
    </row>
    <row r="11" spans="1:8" ht="18.75">
      <c r="B11" s="68" t="s">
        <v>74</v>
      </c>
      <c r="G11" s="80" t="s">
        <v>88</v>
      </c>
      <c r="H11" s="81"/>
    </row>
    <row r="12" spans="1:8" ht="21" thickBot="1">
      <c r="A12" s="62" t="s">
        <v>67</v>
      </c>
      <c r="B12" s="62" t="s">
        <v>68</v>
      </c>
      <c r="C12" s="62" t="s">
        <v>69</v>
      </c>
      <c r="D12" s="62" t="s">
        <v>70</v>
      </c>
      <c r="E12" s="62" t="s">
        <v>71</v>
      </c>
      <c r="F12" s="75"/>
      <c r="G12" s="82" t="s">
        <v>84</v>
      </c>
      <c r="H12" s="83"/>
    </row>
    <row r="13" spans="1:8" ht="20.25">
      <c r="A13" s="62" t="s">
        <v>72</v>
      </c>
      <c r="B13" s="69">
        <v>0.5</v>
      </c>
      <c r="C13" s="69">
        <v>0</v>
      </c>
      <c r="D13" s="69">
        <v>0.33</v>
      </c>
      <c r="E13" s="70">
        <v>0.17</v>
      </c>
      <c r="F13" s="76"/>
      <c r="G13" s="63" t="s">
        <v>85</v>
      </c>
      <c r="H13" s="64">
        <f>4.5/12.5</f>
        <v>0.36</v>
      </c>
    </row>
    <row r="14" spans="1:8" ht="21" thickBot="1">
      <c r="A14" s="62" t="s">
        <v>73</v>
      </c>
      <c r="B14" s="69">
        <v>0.54</v>
      </c>
      <c r="C14" s="69">
        <v>0.04</v>
      </c>
      <c r="D14" s="69">
        <v>0.25</v>
      </c>
      <c r="E14" s="70">
        <v>0.17</v>
      </c>
      <c r="F14" s="76"/>
      <c r="G14" s="65" t="s">
        <v>86</v>
      </c>
      <c r="H14" s="66">
        <f>8/12.5</f>
        <v>0.64</v>
      </c>
    </row>
    <row r="15" spans="1:8" ht="15.75" thickBot="1"/>
    <row r="16" spans="1:8" ht="18.75">
      <c r="A16" s="68" t="s">
        <v>75</v>
      </c>
      <c r="G16" s="84" t="s">
        <v>87</v>
      </c>
      <c r="H16" s="81"/>
    </row>
    <row r="17" spans="1:9" ht="21">
      <c r="A17" s="71" t="s">
        <v>76</v>
      </c>
      <c r="B17" s="71" t="s">
        <v>77</v>
      </c>
      <c r="C17" s="71" t="s">
        <v>78</v>
      </c>
      <c r="D17" s="71" t="s">
        <v>79</v>
      </c>
      <c r="E17" s="71" t="s">
        <v>80</v>
      </c>
      <c r="F17" s="77"/>
      <c r="G17" s="85" t="s">
        <v>93</v>
      </c>
      <c r="H17" s="86">
        <f>7/9</f>
        <v>0.77777777777777779</v>
      </c>
    </row>
    <row r="18" spans="1:9" ht="21.75" thickBot="1">
      <c r="A18" s="71" t="s">
        <v>81</v>
      </c>
      <c r="B18" s="72">
        <f>B13*$I23</f>
        <v>0.18942307692307689</v>
      </c>
      <c r="C18" s="72">
        <f t="shared" ref="C18:E18" si="0">C13*$I23</f>
        <v>0</v>
      </c>
      <c r="D18" s="72">
        <f t="shared" si="0"/>
        <v>0.12501923076923074</v>
      </c>
      <c r="E18" s="72">
        <f t="shared" si="0"/>
        <v>6.4403846153846145E-2</v>
      </c>
      <c r="F18" s="78"/>
      <c r="G18" s="85" t="s">
        <v>92</v>
      </c>
      <c r="H18" s="86">
        <f>7/9</f>
        <v>0.77777777777777779</v>
      </c>
    </row>
    <row r="19" spans="1:9" ht="21">
      <c r="A19" s="71" t="s">
        <v>82</v>
      </c>
      <c r="B19" s="72">
        <f>B14*$I24</f>
        <v>0.33542307692307693</v>
      </c>
      <c r="C19" s="72">
        <f t="shared" ref="C19:E19" si="1">C14*$I24</f>
        <v>2.4846153846153848E-2</v>
      </c>
      <c r="D19" s="72">
        <f t="shared" si="1"/>
        <v>0.15528846153846154</v>
      </c>
      <c r="E19" s="72">
        <f t="shared" si="1"/>
        <v>0.10559615384615385</v>
      </c>
      <c r="F19" s="78"/>
      <c r="G19" s="89" t="s">
        <v>89</v>
      </c>
      <c r="H19" s="90"/>
      <c r="I19" s="91"/>
    </row>
    <row r="20" spans="1:9" ht="18.75">
      <c r="A20" s="73" t="s">
        <v>83</v>
      </c>
      <c r="B20" s="73">
        <f>SUM(B18:B19)</f>
        <v>0.52484615384615385</v>
      </c>
      <c r="C20" s="73">
        <f t="shared" ref="C20:E20" si="2">SUM(C18:C19)</f>
        <v>2.4846153846153848E-2</v>
      </c>
      <c r="D20" s="73">
        <f t="shared" si="2"/>
        <v>0.28030769230769226</v>
      </c>
      <c r="E20" s="73">
        <f t="shared" si="2"/>
        <v>0.16999999999999998</v>
      </c>
      <c r="F20" s="78"/>
      <c r="G20" s="92" t="s">
        <v>90</v>
      </c>
      <c r="H20" s="93"/>
      <c r="I20" s="94">
        <f>(0.1*H17+H13)/2</f>
        <v>0.21888888888888888</v>
      </c>
    </row>
    <row r="21" spans="1:9" ht="19.5" thickBot="1">
      <c r="G21" s="95" t="s">
        <v>91</v>
      </c>
      <c r="H21" s="96"/>
      <c r="I21" s="97">
        <f>(0.1*H18+H14)/2</f>
        <v>0.35888888888888892</v>
      </c>
    </row>
    <row r="22" spans="1:9" ht="15.75" thickBot="1">
      <c r="G22" s="100" t="s">
        <v>94</v>
      </c>
      <c r="H22" s="101"/>
      <c r="I22" s="102"/>
    </row>
    <row r="23" spans="1:9" ht="19.5" thickBot="1">
      <c r="G23" s="87" t="s">
        <v>95</v>
      </c>
      <c r="H23" s="98"/>
      <c r="I23" s="104">
        <f>I20/SUM(I20:I21)</f>
        <v>0.37884615384615378</v>
      </c>
    </row>
    <row r="24" spans="1:9" ht="19.5" thickBot="1">
      <c r="G24" s="88" t="s">
        <v>96</v>
      </c>
      <c r="H24" s="99"/>
      <c r="I24" s="105">
        <f>I21/SUM(I20:I21)</f>
        <v>0.62115384615384617</v>
      </c>
    </row>
    <row r="25" spans="1:9" ht="18.75">
      <c r="G25" s="79"/>
    </row>
    <row r="26" spans="1:9">
      <c r="B26" s="103"/>
    </row>
  </sheetData>
  <mergeCells count="2">
    <mergeCell ref="A1:A2"/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ранжирование</vt:lpstr>
      <vt:lpstr>ранжирование1</vt:lpstr>
      <vt:lpstr>парные_сравнения</vt:lpstr>
      <vt:lpstr>ранжир2</vt:lpstr>
      <vt:lpstr>компетентность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2023-11-02T15:43:27Z</dcterms:modified>
</cp:coreProperties>
</file>