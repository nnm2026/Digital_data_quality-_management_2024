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5" yWindow="-15" windowWidth="28830" windowHeight="12840" activeTab="5"/>
  </bookViews>
  <sheets>
    <sheet name="ранжирование" sheetId="1" r:id="rId1"/>
    <sheet name="парные_сравнения" sheetId="3" r:id="rId2"/>
    <sheet name="ранжир2" sheetId="4" r:id="rId3"/>
    <sheet name="компетентность" sheetId="5" r:id="rId4"/>
    <sheet name="ранжирование1" sheetId="2" r:id="rId5"/>
    <sheet name="лецкий" sheetId="6" r:id="rId6"/>
  </sheets>
  <calcPr calcId="145621"/>
</workbook>
</file>

<file path=xl/calcChain.xml><?xml version="1.0" encoding="utf-8"?>
<calcChain xmlns="http://schemas.openxmlformats.org/spreadsheetml/2006/main">
  <c r="B19" i="6" l="1"/>
  <c r="L28" i="6"/>
  <c r="B38" i="6"/>
  <c r="R20" i="6"/>
  <c r="K17" i="6"/>
  <c r="R23" i="6"/>
  <c r="R16" i="6"/>
  <c r="K18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Q3" i="2"/>
  <c r="C16" i="6" l="1"/>
  <c r="D16" i="6"/>
  <c r="E16" i="6"/>
  <c r="F16" i="6"/>
  <c r="G16" i="6"/>
  <c r="B23" i="6"/>
  <c r="B16" i="6"/>
  <c r="F22" i="6" l="1"/>
  <c r="G34" i="6"/>
  <c r="C34" i="6"/>
  <c r="E33" i="6"/>
  <c r="G32" i="6"/>
  <c r="C32" i="6"/>
  <c r="E31" i="6"/>
  <c r="G30" i="6"/>
  <c r="C30" i="6"/>
  <c r="E29" i="6"/>
  <c r="G28" i="6"/>
  <c r="C28" i="6"/>
  <c r="E27" i="6"/>
  <c r="G26" i="6"/>
  <c r="C26" i="6"/>
  <c r="E25" i="6"/>
  <c r="G24" i="6"/>
  <c r="C24" i="6"/>
  <c r="E23" i="6"/>
  <c r="E22" i="6"/>
  <c r="F34" i="6"/>
  <c r="B34" i="6"/>
  <c r="D33" i="6"/>
  <c r="F32" i="6"/>
  <c r="B32" i="6"/>
  <c r="D31" i="6"/>
  <c r="F30" i="6"/>
  <c r="B30" i="6"/>
  <c r="D29" i="6"/>
  <c r="F28" i="6"/>
  <c r="B28" i="6"/>
  <c r="D27" i="6"/>
  <c r="F26" i="6"/>
  <c r="B26" i="6"/>
  <c r="D25" i="6"/>
  <c r="F24" i="6"/>
  <c r="B24" i="6"/>
  <c r="D23" i="6"/>
  <c r="D22" i="6"/>
  <c r="E34" i="6"/>
  <c r="G33" i="6"/>
  <c r="C33" i="6"/>
  <c r="E32" i="6"/>
  <c r="G31" i="6"/>
  <c r="C31" i="6"/>
  <c r="E30" i="6"/>
  <c r="G29" i="6"/>
  <c r="C29" i="6"/>
  <c r="E28" i="6"/>
  <c r="G27" i="6"/>
  <c r="C27" i="6"/>
  <c r="E26" i="6"/>
  <c r="G25" i="6"/>
  <c r="C25" i="6"/>
  <c r="E24" i="6"/>
  <c r="G23" i="6"/>
  <c r="C23" i="6"/>
  <c r="G22" i="6"/>
  <c r="C22" i="6"/>
  <c r="D34" i="6"/>
  <c r="F33" i="6"/>
  <c r="B33" i="6"/>
  <c r="D32" i="6"/>
  <c r="F31" i="6"/>
  <c r="B31" i="6"/>
  <c r="D30" i="6"/>
  <c r="F29" i="6"/>
  <c r="B29" i="6"/>
  <c r="D28" i="6"/>
  <c r="F27" i="6"/>
  <c r="B27" i="6"/>
  <c r="D26" i="6"/>
  <c r="F25" i="6"/>
  <c r="B25" i="6"/>
  <c r="D24" i="6"/>
  <c r="F23" i="6"/>
  <c r="B22" i="6"/>
  <c r="C18" i="5"/>
  <c r="D18" i="5"/>
  <c r="E18" i="5"/>
  <c r="C19" i="5"/>
  <c r="D19" i="5"/>
  <c r="E19" i="5"/>
  <c r="B19" i="5"/>
  <c r="B18" i="5"/>
  <c r="I21" i="5"/>
  <c r="H18" i="5"/>
  <c r="I20" i="5"/>
  <c r="H17" i="5"/>
  <c r="K12" i="6" l="1"/>
  <c r="L12" i="6"/>
  <c r="K5" i="6"/>
  <c r="M10" i="6"/>
  <c r="K13" i="6"/>
  <c r="P5" i="6"/>
  <c r="N8" i="6"/>
  <c r="P13" i="6"/>
  <c r="M7" i="6"/>
  <c r="K10" i="6"/>
  <c r="O12" i="6"/>
  <c r="M15" i="6"/>
  <c r="L10" i="6"/>
  <c r="P12" i="6"/>
  <c r="O5" i="6"/>
  <c r="M8" i="6"/>
  <c r="K11" i="6"/>
  <c r="L11" i="6"/>
  <c r="O13" i="6"/>
  <c r="L9" i="6"/>
  <c r="P11" i="6"/>
  <c r="K4" i="6"/>
  <c r="M5" i="6"/>
  <c r="K8" i="6"/>
  <c r="O10" i="6"/>
  <c r="M13" i="6"/>
  <c r="N5" i="6"/>
  <c r="L8" i="6"/>
  <c r="P10" i="6"/>
  <c r="N13" i="6"/>
  <c r="N9" i="6"/>
  <c r="O11" i="6"/>
  <c r="P9" i="6"/>
  <c r="N12" i="6"/>
  <c r="M6" i="6"/>
  <c r="M11" i="6"/>
  <c r="M14" i="6"/>
  <c r="P8" i="6"/>
  <c r="N11" i="6"/>
  <c r="L14" i="6"/>
  <c r="P7" i="6"/>
  <c r="O9" i="6"/>
  <c r="M12" i="6"/>
  <c r="N15" i="6"/>
  <c r="L5" i="6"/>
  <c r="N10" i="6"/>
  <c r="L13" i="6"/>
  <c r="P15" i="6"/>
  <c r="C35" i="6"/>
  <c r="L3" i="6"/>
  <c r="M3" i="6"/>
  <c r="D35" i="6"/>
  <c r="G35" i="6"/>
  <c r="P3" i="6"/>
  <c r="B35" i="6"/>
  <c r="O3" i="6"/>
  <c r="F35" i="6"/>
  <c r="N3" i="6"/>
  <c r="E35" i="6"/>
  <c r="K3" i="6"/>
  <c r="B20" i="5"/>
  <c r="H14" i="5"/>
  <c r="H13" i="5"/>
  <c r="D20" i="5" s="1"/>
  <c r="Q10" i="6" l="1"/>
  <c r="Q11" i="6"/>
  <c r="Q13" i="6"/>
  <c r="Q5" i="6"/>
  <c r="P6" i="6"/>
  <c r="Q12" i="6"/>
  <c r="K14" i="6"/>
  <c r="K6" i="6"/>
  <c r="L7" i="6"/>
  <c r="N6" i="6"/>
  <c r="O4" i="6"/>
  <c r="O17" i="6" s="1"/>
  <c r="P14" i="6"/>
  <c r="L4" i="6"/>
  <c r="M9" i="6"/>
  <c r="K15" i="6"/>
  <c r="K7" i="6"/>
  <c r="L15" i="6"/>
  <c r="N4" i="6"/>
  <c r="N16" i="6" s="1"/>
  <c r="K9" i="6"/>
  <c r="Q9" i="6" s="1"/>
  <c r="N14" i="6"/>
  <c r="N7" i="6"/>
  <c r="O15" i="6"/>
  <c r="O7" i="6"/>
  <c r="O14" i="6"/>
  <c r="O6" i="6"/>
  <c r="M4" i="6"/>
  <c r="L6" i="6"/>
  <c r="L17" i="6" s="1"/>
  <c r="O8" i="6"/>
  <c r="Q8" i="6" s="1"/>
  <c r="P4" i="6"/>
  <c r="P16" i="6" s="1"/>
  <c r="M16" i="6"/>
  <c r="M17" i="6"/>
  <c r="Q3" i="6"/>
  <c r="E20" i="5"/>
  <c r="P15" i="2"/>
  <c r="P3" i="2"/>
  <c r="N3" i="2"/>
  <c r="M9" i="2"/>
  <c r="M3" i="2"/>
  <c r="H9" i="1"/>
  <c r="G18" i="1"/>
  <c r="G13" i="1"/>
  <c r="B12" i="1"/>
  <c r="G3" i="1"/>
  <c r="F3" i="1"/>
  <c r="B10" i="2"/>
  <c r="E14" i="2" s="1"/>
  <c r="K16" i="6" l="1"/>
  <c r="O16" i="6"/>
  <c r="N17" i="6"/>
  <c r="Q17" i="6" s="1"/>
  <c r="L16" i="6"/>
  <c r="Q4" i="6"/>
  <c r="P17" i="6"/>
  <c r="Q15" i="6"/>
  <c r="Q6" i="6"/>
  <c r="M18" i="6"/>
  <c r="M19" i="6" s="1"/>
  <c r="Q14" i="6"/>
  <c r="Q7" i="6"/>
  <c r="C20" i="5"/>
  <c r="C17" i="2"/>
  <c r="C15" i="2"/>
  <c r="E13" i="2"/>
  <c r="D16" i="2"/>
  <c r="D14" i="2"/>
  <c r="D13" i="2"/>
  <c r="C16" i="2"/>
  <c r="C14" i="2"/>
  <c r="D17" i="2"/>
  <c r="D15" i="2"/>
  <c r="C13" i="2"/>
  <c r="B17" i="2"/>
  <c r="B16" i="2"/>
  <c r="B15" i="2"/>
  <c r="B14" i="2"/>
  <c r="B13" i="2"/>
  <c r="E17" i="2"/>
  <c r="E16" i="2"/>
  <c r="E15" i="2"/>
  <c r="G9" i="4"/>
  <c r="D15" i="4"/>
  <c r="K24" i="4"/>
  <c r="S2" i="4"/>
  <c r="K2" i="4"/>
  <c r="K25" i="4"/>
  <c r="L25" i="4"/>
  <c r="M25" i="4"/>
  <c r="N25" i="4"/>
  <c r="O25" i="4"/>
  <c r="P25" i="4"/>
  <c r="Q25" i="4"/>
  <c r="K26" i="4"/>
  <c r="L26" i="4"/>
  <c r="M26" i="4"/>
  <c r="N26" i="4"/>
  <c r="O26" i="4"/>
  <c r="P26" i="4"/>
  <c r="Q26" i="4"/>
  <c r="K27" i="4"/>
  <c r="L27" i="4"/>
  <c r="M27" i="4"/>
  <c r="N27" i="4"/>
  <c r="O27" i="4"/>
  <c r="P27" i="4"/>
  <c r="Q27" i="4"/>
  <c r="K28" i="4"/>
  <c r="L28" i="4"/>
  <c r="M28" i="4"/>
  <c r="N28" i="4"/>
  <c r="O28" i="4"/>
  <c r="P28" i="4"/>
  <c r="Q28" i="4"/>
  <c r="L24" i="4"/>
  <c r="M24" i="4"/>
  <c r="N24" i="4"/>
  <c r="O24" i="4"/>
  <c r="P24" i="4"/>
  <c r="Q24" i="4"/>
  <c r="S18" i="4"/>
  <c r="T18" i="4"/>
  <c r="U18" i="4"/>
  <c r="V18" i="4"/>
  <c r="W18" i="4"/>
  <c r="X18" i="4"/>
  <c r="Y18" i="4"/>
  <c r="S19" i="4"/>
  <c r="T19" i="4"/>
  <c r="U19" i="4"/>
  <c r="V19" i="4"/>
  <c r="W19" i="4"/>
  <c r="X19" i="4"/>
  <c r="Y19" i="4"/>
  <c r="S20" i="4"/>
  <c r="T20" i="4"/>
  <c r="U20" i="4"/>
  <c r="V20" i="4"/>
  <c r="W20" i="4"/>
  <c r="X20" i="4"/>
  <c r="Y20" i="4"/>
  <c r="S21" i="4"/>
  <c r="T21" i="4"/>
  <c r="U21" i="4"/>
  <c r="V21" i="4"/>
  <c r="W21" i="4"/>
  <c r="X21" i="4"/>
  <c r="Y21" i="4"/>
  <c r="T17" i="4"/>
  <c r="U17" i="4"/>
  <c r="V17" i="4"/>
  <c r="W17" i="4"/>
  <c r="X17" i="4"/>
  <c r="Y17" i="4"/>
  <c r="S17" i="4"/>
  <c r="K18" i="4"/>
  <c r="L18" i="4"/>
  <c r="M18" i="4"/>
  <c r="N18" i="4"/>
  <c r="O18" i="4"/>
  <c r="P18" i="4"/>
  <c r="Q18" i="4"/>
  <c r="K19" i="4"/>
  <c r="L19" i="4"/>
  <c r="M19" i="4"/>
  <c r="N19" i="4"/>
  <c r="O19" i="4"/>
  <c r="P19" i="4"/>
  <c r="Q19" i="4"/>
  <c r="K20" i="4"/>
  <c r="L20" i="4"/>
  <c r="M20" i="4"/>
  <c r="N20" i="4"/>
  <c r="O20" i="4"/>
  <c r="P20" i="4"/>
  <c r="Q20" i="4"/>
  <c r="K21" i="4"/>
  <c r="L21" i="4"/>
  <c r="M21" i="4"/>
  <c r="N21" i="4"/>
  <c r="O21" i="4"/>
  <c r="P21" i="4"/>
  <c r="Q21" i="4"/>
  <c r="L17" i="4"/>
  <c r="M17" i="4"/>
  <c r="N17" i="4"/>
  <c r="O17" i="4"/>
  <c r="P17" i="4"/>
  <c r="Q17" i="4"/>
  <c r="K17" i="4"/>
  <c r="S11" i="4"/>
  <c r="T11" i="4"/>
  <c r="U11" i="4"/>
  <c r="V11" i="4"/>
  <c r="W11" i="4"/>
  <c r="X11" i="4"/>
  <c r="Y11" i="4"/>
  <c r="S12" i="4"/>
  <c r="T12" i="4"/>
  <c r="U12" i="4"/>
  <c r="V12" i="4"/>
  <c r="W12" i="4"/>
  <c r="X12" i="4"/>
  <c r="Y12" i="4"/>
  <c r="S13" i="4"/>
  <c r="T13" i="4"/>
  <c r="U13" i="4"/>
  <c r="V13" i="4"/>
  <c r="W13" i="4"/>
  <c r="X13" i="4"/>
  <c r="Y13" i="4"/>
  <c r="S14" i="4"/>
  <c r="T14" i="4"/>
  <c r="U14" i="4"/>
  <c r="V14" i="4"/>
  <c r="W14" i="4"/>
  <c r="X14" i="4"/>
  <c r="Y14" i="4"/>
  <c r="T10" i="4"/>
  <c r="U10" i="4"/>
  <c r="V10" i="4"/>
  <c r="W10" i="4"/>
  <c r="X10" i="4"/>
  <c r="Y10" i="4"/>
  <c r="S10" i="4"/>
  <c r="K11" i="4"/>
  <c r="L11" i="4"/>
  <c r="M11" i="4"/>
  <c r="N11" i="4"/>
  <c r="O11" i="4"/>
  <c r="P11" i="4"/>
  <c r="Q11" i="4"/>
  <c r="K12" i="4"/>
  <c r="L12" i="4"/>
  <c r="M12" i="4"/>
  <c r="N12" i="4"/>
  <c r="O12" i="4"/>
  <c r="P12" i="4"/>
  <c r="Q12" i="4"/>
  <c r="K13" i="4"/>
  <c r="L13" i="4"/>
  <c r="M13" i="4"/>
  <c r="N13" i="4"/>
  <c r="O13" i="4"/>
  <c r="P13" i="4"/>
  <c r="Q13" i="4"/>
  <c r="K14" i="4"/>
  <c r="L14" i="4"/>
  <c r="M14" i="4"/>
  <c r="N14" i="4"/>
  <c r="O14" i="4"/>
  <c r="P14" i="4"/>
  <c r="Q14" i="4"/>
  <c r="L10" i="4"/>
  <c r="M10" i="4"/>
  <c r="N10" i="4"/>
  <c r="O10" i="4"/>
  <c r="P10" i="4"/>
  <c r="Q10" i="4"/>
  <c r="K10" i="4"/>
  <c r="S3" i="4"/>
  <c r="T3" i="4"/>
  <c r="U3" i="4"/>
  <c r="V3" i="4"/>
  <c r="W3" i="4"/>
  <c r="X3" i="4"/>
  <c r="Y3" i="4"/>
  <c r="S4" i="4"/>
  <c r="T4" i="4"/>
  <c r="U4" i="4"/>
  <c r="V4" i="4"/>
  <c r="W4" i="4"/>
  <c r="X4" i="4"/>
  <c r="Y4" i="4"/>
  <c r="S5" i="4"/>
  <c r="T5" i="4"/>
  <c r="U5" i="4"/>
  <c r="V5" i="4"/>
  <c r="W5" i="4"/>
  <c r="X5" i="4"/>
  <c r="Y5" i="4"/>
  <c r="S6" i="4"/>
  <c r="T6" i="4"/>
  <c r="U6" i="4"/>
  <c r="V6" i="4"/>
  <c r="W6" i="4"/>
  <c r="X6" i="4"/>
  <c r="Y6" i="4"/>
  <c r="T2" i="4"/>
  <c r="U2" i="4"/>
  <c r="V2" i="4"/>
  <c r="W2" i="4"/>
  <c r="X2" i="4"/>
  <c r="Y2" i="4"/>
  <c r="K3" i="4"/>
  <c r="L3" i="4"/>
  <c r="M3" i="4"/>
  <c r="N3" i="4"/>
  <c r="O3" i="4"/>
  <c r="P3" i="4"/>
  <c r="Q3" i="4"/>
  <c r="K4" i="4"/>
  <c r="L4" i="4"/>
  <c r="M4" i="4"/>
  <c r="N4" i="4"/>
  <c r="O4" i="4"/>
  <c r="P4" i="4"/>
  <c r="Q4" i="4"/>
  <c r="K5" i="4"/>
  <c r="L5" i="4"/>
  <c r="M5" i="4"/>
  <c r="N5" i="4"/>
  <c r="O5" i="4"/>
  <c r="P5" i="4"/>
  <c r="Q5" i="4"/>
  <c r="K6" i="4"/>
  <c r="L6" i="4"/>
  <c r="M6" i="4"/>
  <c r="N6" i="4"/>
  <c r="O6" i="4"/>
  <c r="P6" i="4"/>
  <c r="Q6" i="4"/>
  <c r="L2" i="4"/>
  <c r="M2" i="4"/>
  <c r="N2" i="4"/>
  <c r="O2" i="4"/>
  <c r="P2" i="4"/>
  <c r="Q2" i="4"/>
  <c r="P18" i="6" l="1"/>
  <c r="P19" i="6" s="1"/>
  <c r="K19" i="6"/>
  <c r="L18" i="6"/>
  <c r="L19" i="6" s="1"/>
  <c r="R21" i="6" s="1"/>
  <c r="N18" i="6"/>
  <c r="N19" i="6" s="1"/>
  <c r="O18" i="6"/>
  <c r="O19" i="6" s="1"/>
  <c r="D14" i="4"/>
  <c r="D11" i="4"/>
  <c r="D10" i="4"/>
  <c r="D13" i="4"/>
  <c r="D9" i="4"/>
  <c r="D12" i="4"/>
  <c r="F3" i="3"/>
  <c r="F4" i="3"/>
  <c r="F5" i="3"/>
  <c r="F2" i="3"/>
  <c r="R19" i="6" l="1"/>
  <c r="D17" i="4"/>
  <c r="F6" i="3"/>
  <c r="G2" i="3" s="1"/>
  <c r="G4" i="3"/>
  <c r="E8" i="2"/>
  <c r="D8" i="2"/>
  <c r="C8" i="2"/>
  <c r="B8" i="2"/>
  <c r="G14" i="4" l="1"/>
  <c r="G15" i="4"/>
  <c r="G10" i="4"/>
  <c r="G11" i="4"/>
  <c r="G12" i="4"/>
  <c r="G13" i="4"/>
  <c r="G3" i="3"/>
  <c r="G5" i="3"/>
  <c r="C18" i="2"/>
  <c r="E18" i="2"/>
  <c r="D18" i="2"/>
  <c r="B18" i="2"/>
  <c r="F4" i="1"/>
  <c r="F5" i="1"/>
  <c r="G15" i="1" s="1"/>
  <c r="F6" i="1"/>
  <c r="G16" i="1" s="1"/>
  <c r="F7" i="1"/>
  <c r="B9" i="1"/>
  <c r="C8" i="1"/>
  <c r="D8" i="1"/>
  <c r="E8" i="1"/>
  <c r="B8" i="1"/>
  <c r="G17" i="1" l="1"/>
  <c r="G7" i="1"/>
  <c r="H7" i="1" s="1"/>
  <c r="G4" i="1"/>
  <c r="H4" i="1" s="1"/>
  <c r="G14" i="1"/>
  <c r="G6" i="1"/>
  <c r="H6" i="1" s="1"/>
  <c r="G5" i="1"/>
  <c r="H5" i="1" s="1"/>
  <c r="K7" i="2"/>
  <c r="L5" i="2"/>
  <c r="K6" i="2"/>
  <c r="L7" i="2"/>
  <c r="J6" i="2"/>
  <c r="J4" i="2"/>
  <c r="J5" i="2"/>
  <c r="I7" i="2"/>
  <c r="K4" i="2"/>
  <c r="L3" i="2"/>
  <c r="K3" i="2"/>
  <c r="I4" i="2"/>
  <c r="J3" i="2"/>
  <c r="K5" i="2"/>
  <c r="L4" i="2"/>
  <c r="L6" i="2"/>
  <c r="I3" i="2"/>
  <c r="I5" i="2"/>
  <c r="J7" i="2"/>
  <c r="I6" i="2"/>
  <c r="F8" i="1"/>
  <c r="G8" i="1" l="1"/>
  <c r="H3" i="1"/>
  <c r="H8" i="1" s="1"/>
  <c r="M4" i="2"/>
  <c r="N4" i="2"/>
  <c r="M7" i="2"/>
  <c r="N7" i="2"/>
  <c r="M6" i="2"/>
  <c r="N6" i="2"/>
  <c r="M5" i="2"/>
  <c r="N5" i="2"/>
  <c r="J8" i="2"/>
  <c r="K8" i="2"/>
  <c r="L8" i="2"/>
  <c r="I8" i="2"/>
  <c r="F11" i="1" l="1"/>
  <c r="P6" i="2"/>
  <c r="Q6" i="2" s="1"/>
  <c r="N8" i="2"/>
  <c r="P4" i="2" l="1"/>
  <c r="Q4" i="2" s="1"/>
  <c r="P7" i="2"/>
  <c r="Q7" i="2" s="1"/>
  <c r="P5" i="2"/>
  <c r="Q5" i="2" s="1"/>
  <c r="P9" i="2" l="1"/>
  <c r="Q8" i="2"/>
  <c r="M14" i="2" s="1"/>
  <c r="Q11" i="2"/>
  <c r="Q12" i="2" s="1"/>
</calcChain>
</file>

<file path=xl/sharedStrings.xml><?xml version="1.0" encoding="utf-8"?>
<sst xmlns="http://schemas.openxmlformats.org/spreadsheetml/2006/main" count="243" uniqueCount="128">
  <si>
    <t>Ф1</t>
  </si>
  <si>
    <t>Ф2</t>
  </si>
  <si>
    <t>Ф3</t>
  </si>
  <si>
    <t>Ф4</t>
  </si>
  <si>
    <t>Ф5</t>
  </si>
  <si>
    <t>Э1</t>
  </si>
  <si>
    <t>Э2</t>
  </si>
  <si>
    <t>Э3</t>
  </si>
  <si>
    <t>Э4</t>
  </si>
  <si>
    <t>Сумма рангов</t>
  </si>
  <si>
    <t>откл от сред</t>
  </si>
  <si>
    <t>кв отклон</t>
  </si>
  <si>
    <t>сумма</t>
  </si>
  <si>
    <t>среднее суммы рангов=</t>
  </si>
  <si>
    <t>коэффициента конкордации Кендалла</t>
  </si>
  <si>
    <t>w= 12S/((n^2)(m^3-m))= 12*132/(4^2*(5^3-5))=</t>
  </si>
  <si>
    <t>ср_кв_откл=</t>
  </si>
  <si>
    <t>лин откл</t>
  </si>
  <si>
    <t>ср лин откл=</t>
  </si>
  <si>
    <t>вес фактора</t>
  </si>
  <si>
    <t>ср_весов факторов</t>
  </si>
  <si>
    <t>кв_откл</t>
  </si>
  <si>
    <t>ср_лин_откл</t>
  </si>
  <si>
    <t>сумма=</t>
  </si>
  <si>
    <t>дисп=</t>
  </si>
  <si>
    <t>коэфф</t>
  </si>
  <si>
    <t>вариации=</t>
  </si>
  <si>
    <t>сумма рангов</t>
  </si>
  <si>
    <t>ср сумм рангов</t>
  </si>
  <si>
    <t>Эксперты n возр значим</t>
  </si>
  <si>
    <t>Эксперты n (возраст знач)</t>
  </si>
  <si>
    <t>Эксперты n (убыв знач)</t>
  </si>
  <si>
    <t>ранга от ср</t>
  </si>
  <si>
    <r>
      <t>Z</t>
    </r>
    <r>
      <rPr>
        <b/>
        <vertAlign val="subscript"/>
        <sz val="14"/>
        <color theme="1"/>
        <rFont val="Times New Roman"/>
        <family val="1"/>
        <charset val="204"/>
      </rPr>
      <t>i</t>
    </r>
    <r>
      <rPr>
        <b/>
        <sz val="14"/>
        <color theme="1"/>
        <rFont val="Times New Roman"/>
        <family val="1"/>
        <charset val="204"/>
      </rPr>
      <t>/Z</t>
    </r>
    <r>
      <rPr>
        <b/>
        <vertAlign val="subscript"/>
        <sz val="14"/>
        <color theme="1"/>
        <rFont val="Times New Roman"/>
        <family val="1"/>
        <charset val="204"/>
      </rPr>
      <t>j</t>
    </r>
  </si>
  <si>
    <r>
      <t>Z</t>
    </r>
    <r>
      <rPr>
        <b/>
        <vertAlign val="subscript"/>
        <sz val="14"/>
        <color theme="1"/>
        <rFont val="Times New Roman"/>
        <family val="1"/>
        <charset val="204"/>
      </rPr>
      <t>1</t>
    </r>
  </si>
  <si>
    <r>
      <t>Z</t>
    </r>
    <r>
      <rPr>
        <b/>
        <vertAlign val="subscript"/>
        <sz val="14"/>
        <color theme="1"/>
        <rFont val="Times New Roman"/>
        <family val="1"/>
        <charset val="204"/>
      </rPr>
      <t>2</t>
    </r>
  </si>
  <si>
    <r>
      <t>Z</t>
    </r>
    <r>
      <rPr>
        <b/>
        <vertAlign val="subscript"/>
        <sz val="14"/>
        <color theme="1"/>
        <rFont val="Times New Roman"/>
        <family val="1"/>
        <charset val="204"/>
      </rPr>
      <t>3</t>
    </r>
  </si>
  <si>
    <r>
      <t>Z</t>
    </r>
    <r>
      <rPr>
        <b/>
        <vertAlign val="subscript"/>
        <sz val="14"/>
        <color theme="1"/>
        <rFont val="Times New Roman"/>
        <family val="1"/>
        <charset val="204"/>
      </rPr>
      <t>4</t>
    </r>
  </si>
  <si>
    <t>цена цели (сумма строки)</t>
  </si>
  <si>
    <t>∑ цен =</t>
  </si>
  <si>
    <t>Нормированная цена критерия</t>
  </si>
  <si>
    <t>э1</t>
  </si>
  <si>
    <t>э2</t>
  </si>
  <si>
    <t>э3</t>
  </si>
  <si>
    <t>э4</t>
  </si>
  <si>
    <t>э5</t>
  </si>
  <si>
    <t>№ п/п</t>
  </si>
  <si>
    <t>обект</t>
  </si>
  <si>
    <t>объект 1</t>
  </si>
  <si>
    <r>
      <rPr>
        <b/>
        <sz val="14"/>
        <color theme="1"/>
        <rFont val="Calibri"/>
        <family val="2"/>
        <charset val="204"/>
      </rPr>
      <t>∑</t>
    </r>
    <r>
      <rPr>
        <b/>
        <sz val="14"/>
        <color theme="1"/>
        <rFont val="Times New Roman"/>
        <family val="1"/>
        <charset val="204"/>
      </rPr>
      <t>=</t>
    </r>
  </si>
  <si>
    <t>объект 2</t>
  </si>
  <si>
    <t>объект 3</t>
  </si>
  <si>
    <t>объект 4</t>
  </si>
  <si>
    <t>объект 5</t>
  </si>
  <si>
    <t>объект 6</t>
  </si>
  <si>
    <t>объект 7</t>
  </si>
  <si>
    <r>
      <rPr>
        <b/>
        <sz val="14"/>
        <color rgb="FF7030A0"/>
        <rFont val="Calibri"/>
        <family val="2"/>
        <charset val="204"/>
      </rPr>
      <t xml:space="preserve">∑ рангов </t>
    </r>
    <r>
      <rPr>
        <b/>
        <sz val="14"/>
        <color rgb="FF7030A0"/>
        <rFont val="Times New Roman"/>
        <family val="1"/>
        <charset val="204"/>
      </rPr>
      <t>=</t>
    </r>
  </si>
  <si>
    <t>ранги</t>
  </si>
  <si>
    <t>коэфф.весомости</t>
  </si>
  <si>
    <t>к-т вариации v=σ/ср.суммы_рангов=</t>
  </si>
  <si>
    <t>Эксперты    n</t>
  </si>
  <si>
    <t>R’ij=max-Rij</t>
  </si>
  <si>
    <t>max(b3:e7)=</t>
  </si>
  <si>
    <t>w= 12S/((n^2)(m^3-m))= 12*1,32/(4^2*(5^3-5))=</t>
  </si>
  <si>
    <t>Факторы m</t>
  </si>
  <si>
    <t>Занимаемая должность</t>
  </si>
  <si>
    <r>
      <t>(R</t>
    </r>
    <r>
      <rPr>
        <b/>
        <vertAlign val="subscript"/>
        <sz val="14"/>
        <color rgb="FF000000"/>
        <rFont val="Times New Roman"/>
        <family val="1"/>
        <charset val="204"/>
      </rPr>
      <t>j</t>
    </r>
    <r>
      <rPr>
        <b/>
        <sz val="14"/>
        <color rgb="FF000000"/>
        <rFont val="Times New Roman"/>
        <family val="1"/>
        <charset val="204"/>
      </rPr>
      <t>)</t>
    </r>
  </si>
  <si>
    <t>специалист без степени</t>
  </si>
  <si>
    <t>кандидат наук</t>
  </si>
  <si>
    <t>доктор наук</t>
  </si>
  <si>
    <t>академик</t>
  </si>
  <si>
    <t>Ведущий инженер</t>
  </si>
  <si>
    <t>—</t>
  </si>
  <si>
    <t>С.Н.С., Н.С., М.Н.С.</t>
  </si>
  <si>
    <t>Гл. Н.С., вед. Н.С.</t>
  </si>
  <si>
    <t>Зав. лабораторией, сектора</t>
  </si>
  <si>
    <t>Зав. отдела, заместитель</t>
  </si>
  <si>
    <t>Руководитель комплекса, отделения</t>
  </si>
  <si>
    <t>Директор, заместитель</t>
  </si>
  <si>
    <r>
      <t>Э</t>
    </r>
    <r>
      <rPr>
        <b/>
        <vertAlign val="subscript"/>
        <sz val="14"/>
        <color rgb="FF000000"/>
        <rFont val="Times New Roman"/>
        <family val="1"/>
        <charset val="204"/>
      </rPr>
      <t>j</t>
    </r>
    <r>
      <rPr>
        <b/>
        <sz val="14"/>
        <color rgb="FF000000"/>
        <rFont val="Times New Roman"/>
        <family val="1"/>
        <charset val="204"/>
      </rPr>
      <t>/Z</t>
    </r>
    <r>
      <rPr>
        <b/>
        <vertAlign val="subscript"/>
        <sz val="14"/>
        <color rgb="FF000000"/>
        <rFont val="Times New Roman"/>
        <family val="1"/>
        <charset val="204"/>
      </rPr>
      <t>i</t>
    </r>
  </si>
  <si>
    <r>
      <t>Z</t>
    </r>
    <r>
      <rPr>
        <b/>
        <vertAlign val="subscript"/>
        <sz val="14"/>
        <color rgb="FF000000"/>
        <rFont val="Times New Roman"/>
        <family val="1"/>
        <charset val="204"/>
      </rPr>
      <t>1</t>
    </r>
  </si>
  <si>
    <r>
      <t>Z</t>
    </r>
    <r>
      <rPr>
        <b/>
        <vertAlign val="subscript"/>
        <sz val="14"/>
        <color rgb="FF000000"/>
        <rFont val="Times New Roman"/>
        <family val="1"/>
        <charset val="204"/>
      </rPr>
      <t>2</t>
    </r>
  </si>
  <si>
    <r>
      <t>Z</t>
    </r>
    <r>
      <rPr>
        <b/>
        <vertAlign val="subscript"/>
        <sz val="14"/>
        <color rgb="FF000000"/>
        <rFont val="Times New Roman"/>
        <family val="1"/>
        <charset val="204"/>
      </rPr>
      <t>3</t>
    </r>
  </si>
  <si>
    <r>
      <t>Z</t>
    </r>
    <r>
      <rPr>
        <b/>
        <vertAlign val="subscript"/>
        <sz val="14"/>
        <color rgb="FF000000"/>
        <rFont val="Times New Roman"/>
        <family val="1"/>
        <charset val="204"/>
      </rPr>
      <t>4</t>
    </r>
  </si>
  <si>
    <r>
      <t>Э</t>
    </r>
    <r>
      <rPr>
        <b/>
        <vertAlign val="subscript"/>
        <sz val="14"/>
        <color rgb="FF000000"/>
        <rFont val="Times New Roman"/>
        <family val="1"/>
        <charset val="204"/>
      </rPr>
      <t>1</t>
    </r>
    <r>
      <rPr>
        <b/>
        <sz val="14"/>
        <color rgb="FF000000"/>
        <rFont val="Times New Roman"/>
        <family val="1"/>
        <charset val="204"/>
      </rPr>
      <t>(R</t>
    </r>
    <r>
      <rPr>
        <b/>
        <vertAlign val="subscript"/>
        <sz val="14"/>
        <color rgb="FF000000"/>
        <rFont val="Times New Roman"/>
        <family val="1"/>
        <charset val="204"/>
      </rPr>
      <t>1</t>
    </r>
    <r>
      <rPr>
        <b/>
        <sz val="14"/>
        <color rgb="FF000000"/>
        <rFont val="Times New Roman"/>
        <family val="1"/>
        <charset val="204"/>
      </rPr>
      <t>)</t>
    </r>
  </si>
  <si>
    <r>
      <t>Э</t>
    </r>
    <r>
      <rPr>
        <b/>
        <vertAlign val="subscript"/>
        <sz val="14"/>
        <color rgb="FF000000"/>
        <rFont val="Times New Roman"/>
        <family val="1"/>
        <charset val="204"/>
      </rPr>
      <t>2</t>
    </r>
    <r>
      <rPr>
        <b/>
        <sz val="14"/>
        <color rgb="FF000000"/>
        <rFont val="Times New Roman"/>
        <family val="1"/>
        <charset val="204"/>
      </rPr>
      <t>(R</t>
    </r>
    <r>
      <rPr>
        <b/>
        <vertAlign val="subscript"/>
        <sz val="14"/>
        <color rgb="FF000000"/>
        <rFont val="Times New Roman"/>
        <family val="1"/>
        <charset val="204"/>
      </rPr>
      <t>2</t>
    </r>
    <r>
      <rPr>
        <b/>
        <sz val="14"/>
        <color rgb="FF000000"/>
        <rFont val="Times New Roman"/>
        <family val="1"/>
        <charset val="204"/>
      </rPr>
      <t>)</t>
    </r>
  </si>
  <si>
    <t>Таблица 4 − Матрица весов целей</t>
  </si>
  <si>
    <t>Таблица 5 − Откорректированная матрица весов целей</t>
  </si>
  <si>
    <r>
      <t>Э</t>
    </r>
    <r>
      <rPr>
        <b/>
        <i/>
        <vertAlign val="subscript"/>
        <sz val="14"/>
        <color rgb="FF0070C0"/>
        <rFont val="Times New Roman"/>
        <family val="1"/>
        <charset val="204"/>
      </rPr>
      <t>j</t>
    </r>
    <r>
      <rPr>
        <b/>
        <i/>
        <sz val="14"/>
        <color rgb="FF0070C0"/>
        <rFont val="Times New Roman"/>
        <family val="1"/>
        <charset val="204"/>
      </rPr>
      <t>/Z</t>
    </r>
    <r>
      <rPr>
        <b/>
        <i/>
        <vertAlign val="subscript"/>
        <sz val="14"/>
        <color rgb="FF0070C0"/>
        <rFont val="Times New Roman"/>
        <family val="1"/>
        <charset val="204"/>
      </rPr>
      <t>i</t>
    </r>
  </si>
  <si>
    <r>
      <t>Z</t>
    </r>
    <r>
      <rPr>
        <b/>
        <i/>
        <vertAlign val="subscript"/>
        <sz val="14"/>
        <color rgb="FF0070C0"/>
        <rFont val="Times New Roman"/>
        <family val="1"/>
        <charset val="204"/>
      </rPr>
      <t>1</t>
    </r>
  </si>
  <si>
    <r>
      <t>Z</t>
    </r>
    <r>
      <rPr>
        <b/>
        <i/>
        <vertAlign val="subscript"/>
        <sz val="14"/>
        <color rgb="FF0070C0"/>
        <rFont val="Times New Roman"/>
        <family val="1"/>
        <charset val="204"/>
      </rPr>
      <t>2</t>
    </r>
  </si>
  <si>
    <r>
      <t>Z</t>
    </r>
    <r>
      <rPr>
        <b/>
        <i/>
        <vertAlign val="subscript"/>
        <sz val="14"/>
        <color rgb="FF0070C0"/>
        <rFont val="Times New Roman"/>
        <family val="1"/>
        <charset val="204"/>
      </rPr>
      <t>3</t>
    </r>
  </si>
  <si>
    <r>
      <t>Z</t>
    </r>
    <r>
      <rPr>
        <b/>
        <i/>
        <vertAlign val="subscript"/>
        <sz val="14"/>
        <color rgb="FF0070C0"/>
        <rFont val="Times New Roman"/>
        <family val="1"/>
        <charset val="204"/>
      </rPr>
      <t>4</t>
    </r>
  </si>
  <si>
    <r>
      <t>Э</t>
    </r>
    <r>
      <rPr>
        <b/>
        <i/>
        <vertAlign val="subscript"/>
        <sz val="14"/>
        <color rgb="FF0070C0"/>
        <rFont val="Times New Roman"/>
        <family val="1"/>
        <charset val="204"/>
      </rPr>
      <t>1</t>
    </r>
    <r>
      <rPr>
        <b/>
        <i/>
        <sz val="14"/>
        <color rgb="FF0070C0"/>
        <rFont val="Times New Roman"/>
        <family val="1"/>
        <charset val="204"/>
      </rPr>
      <t>(R</t>
    </r>
    <r>
      <rPr>
        <b/>
        <i/>
        <vertAlign val="subscript"/>
        <sz val="14"/>
        <color rgb="FF0070C0"/>
        <rFont val="Times New Roman"/>
        <family val="1"/>
        <charset val="204"/>
      </rPr>
      <t>1</t>
    </r>
    <r>
      <rPr>
        <b/>
        <i/>
        <sz val="14"/>
        <color rgb="FF0070C0"/>
        <rFont val="Times New Roman"/>
        <family val="1"/>
        <charset val="204"/>
      </rPr>
      <t>)</t>
    </r>
  </si>
  <si>
    <r>
      <t>Э</t>
    </r>
    <r>
      <rPr>
        <b/>
        <i/>
        <vertAlign val="subscript"/>
        <sz val="14"/>
        <color rgb="FF0070C0"/>
        <rFont val="Times New Roman"/>
        <family val="1"/>
        <charset val="204"/>
      </rPr>
      <t>2</t>
    </r>
    <r>
      <rPr>
        <b/>
        <i/>
        <sz val="14"/>
        <color rgb="FF0070C0"/>
        <rFont val="Times New Roman"/>
        <family val="1"/>
        <charset val="204"/>
      </rPr>
      <t>(R</t>
    </r>
    <r>
      <rPr>
        <b/>
        <i/>
        <vertAlign val="subscript"/>
        <sz val="14"/>
        <color rgb="FF0070C0"/>
        <rFont val="Times New Roman"/>
        <family val="1"/>
        <charset val="204"/>
      </rPr>
      <t>2</t>
    </r>
    <r>
      <rPr>
        <b/>
        <i/>
        <sz val="14"/>
        <color rgb="FF0070C0"/>
        <rFont val="Times New Roman"/>
        <family val="1"/>
        <charset val="204"/>
      </rPr>
      <t>)</t>
    </r>
  </si>
  <si>
    <t xml:space="preserve">Откоррект. Веса Zi = </t>
  </si>
  <si>
    <t>Rai=Ri/(Ra1+Ra2)</t>
  </si>
  <si>
    <t xml:space="preserve">Ra1 = 4,5/12,5 = </t>
  </si>
  <si>
    <t xml:space="preserve">Ra2 = 8/12,5 = </t>
  </si>
  <si>
    <t>К-ты информированности</t>
  </si>
  <si>
    <t>К-ты аргументированности</t>
  </si>
  <si>
    <t>Итоговые к-ты компетентности</t>
  </si>
  <si>
    <t>Rk1= (0,1⋅Ru1+Ra1)/2=</t>
  </si>
  <si>
    <t>Rk2= (0,1⋅Ru2+Ra2)/2=</t>
  </si>
  <si>
    <r>
      <t>R</t>
    </r>
    <r>
      <rPr>
        <b/>
        <i/>
        <vertAlign val="subscript"/>
        <sz val="14"/>
        <color rgb="FF0070C0"/>
        <rFont val="Times New Roman"/>
        <family val="1"/>
        <charset val="204"/>
      </rPr>
      <t>u2</t>
    </r>
    <r>
      <rPr>
        <b/>
        <i/>
        <sz val="14"/>
        <color rgb="FF0070C0"/>
        <rFont val="Times New Roman"/>
        <family val="1"/>
        <charset val="204"/>
      </rPr>
      <t xml:space="preserve"> = 7/9 = </t>
    </r>
  </si>
  <si>
    <r>
      <t>R</t>
    </r>
    <r>
      <rPr>
        <b/>
        <i/>
        <vertAlign val="subscript"/>
        <sz val="14"/>
        <color rgb="FF0070C0"/>
        <rFont val="Times New Roman"/>
        <family val="1"/>
        <charset val="204"/>
      </rPr>
      <t>u1</t>
    </r>
    <r>
      <rPr>
        <b/>
        <i/>
        <sz val="14"/>
        <color rgb="FF0070C0"/>
        <rFont val="Times New Roman"/>
        <family val="1"/>
        <charset val="204"/>
      </rPr>
      <t> = </t>
    </r>
    <r>
      <rPr>
        <b/>
        <i/>
        <sz val="14"/>
        <color rgb="FF0070C0"/>
        <rFont val="Times New Roman"/>
        <family val="1"/>
        <charset val="204"/>
      </rPr>
      <t xml:space="preserve">7/9 = </t>
    </r>
  </si>
  <si>
    <t>Факторы(св-ва аппаратуры)</t>
  </si>
  <si>
    <t>Ф6</t>
  </si>
  <si>
    <t>Эксперты</t>
  </si>
  <si>
    <t>Э5</t>
  </si>
  <si>
    <t>Э6</t>
  </si>
  <si>
    <t>Э7</t>
  </si>
  <si>
    <t>Э8</t>
  </si>
  <si>
    <t>Э9</t>
  </si>
  <si>
    <t>Э10</t>
  </si>
  <si>
    <t>Э11</t>
  </si>
  <si>
    <t>Э12</t>
  </si>
  <si>
    <t>Э13</t>
  </si>
  <si>
    <t>ср суммы рангов=</t>
  </si>
  <si>
    <t>лин. Откл рангов от ср</t>
  </si>
  <si>
    <t xml:space="preserve">квадрат отклон = </t>
  </si>
  <si>
    <t>сумма квадратов=</t>
  </si>
  <si>
    <t xml:space="preserve">коэфф вариации = </t>
  </si>
  <si>
    <t>Эксперты m</t>
  </si>
  <si>
    <t>Факторы n (убыв знач)</t>
  </si>
  <si>
    <t>Факторы n</t>
  </si>
  <si>
    <t>w= 1200S/((n^2)(m^3-m))= 1200*R19/(6^2*(13^3-13))=</t>
  </si>
  <si>
    <t>Коэфф. важности (ср весов факторов)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</si>
</sst>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3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2"/>
      <color rgb="FF7030A0"/>
      <name val="Times New Roman"/>
      <family val="1"/>
      <charset val="204"/>
    </font>
    <font>
      <b/>
      <sz val="12"/>
      <color rgb="FFC00000"/>
      <name val="Times New Roman"/>
      <family val="1"/>
      <charset val="204"/>
    </font>
    <font>
      <b/>
      <i/>
      <sz val="11.5"/>
      <color rgb="FF646464"/>
      <name val="Roboto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rgb="FF7030A0"/>
      <name val="Calibri"/>
      <family val="2"/>
      <scheme val="minor"/>
    </font>
    <font>
      <b/>
      <sz val="11"/>
      <color rgb="FF0070C0"/>
      <name val="Calibri"/>
      <family val="2"/>
      <charset val="204"/>
      <scheme val="minor"/>
    </font>
    <font>
      <b/>
      <sz val="11"/>
      <color rgb="FF00B050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b/>
      <vertAlign val="subscript"/>
      <sz val="14"/>
      <color theme="1"/>
      <name val="Times New Roman"/>
      <family val="1"/>
      <charset val="204"/>
    </font>
    <font>
      <b/>
      <sz val="11"/>
      <color theme="1"/>
      <name val="Calibri"/>
      <family val="2"/>
      <scheme val="minor"/>
    </font>
    <font>
      <b/>
      <sz val="14"/>
      <color rgb="FF7030A0"/>
      <name val="Times New Roman"/>
      <family val="1"/>
      <charset val="204"/>
    </font>
    <font>
      <b/>
      <sz val="14"/>
      <color rgb="FFC0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i/>
      <sz val="14"/>
      <color rgb="FF0070C0"/>
      <name val="Times New Roman"/>
      <family val="1"/>
      <charset val="204"/>
    </font>
    <font>
      <b/>
      <sz val="14"/>
      <color theme="1"/>
      <name val="Calibri"/>
      <family val="2"/>
      <charset val="204"/>
    </font>
    <font>
      <b/>
      <sz val="14"/>
      <color rgb="FF7030A0"/>
      <name val="Calibri"/>
      <family val="2"/>
      <charset val="204"/>
    </font>
    <font>
      <sz val="11.5"/>
      <color rgb="FF646464"/>
      <name val="Roboto"/>
      <charset val="204"/>
    </font>
    <font>
      <b/>
      <sz val="14"/>
      <color rgb="FF0070C0"/>
      <name val="Times New Roman"/>
      <family val="1"/>
      <charset val="204"/>
    </font>
    <font>
      <b/>
      <sz val="12"/>
      <color rgb="FF0070C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vertAlign val="subscript"/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i/>
      <sz val="14"/>
      <color rgb="FF7030A0"/>
      <name val="Times New Roman"/>
      <family val="1"/>
      <charset val="204"/>
    </font>
    <font>
      <b/>
      <i/>
      <vertAlign val="subscript"/>
      <sz val="14"/>
      <color rgb="FF0070C0"/>
      <name val="Times New Roman"/>
      <family val="1"/>
      <charset val="204"/>
    </font>
    <font>
      <i/>
      <sz val="14"/>
      <color rgb="FF0070C0"/>
      <name val="Calibri"/>
      <family val="2"/>
      <scheme val="minor"/>
    </font>
    <font>
      <b/>
      <i/>
      <sz val="14"/>
      <color rgb="FFC00000"/>
      <name val="Calibri"/>
      <family val="2"/>
      <charset val="204"/>
      <scheme val="minor"/>
    </font>
    <font>
      <b/>
      <i/>
      <sz val="11"/>
      <color rgb="FF0070C0"/>
      <name val="Times New Roman"/>
      <family val="1"/>
      <charset val="204"/>
    </font>
    <font>
      <b/>
      <i/>
      <sz val="11"/>
      <color rgb="FF7030A0"/>
      <name val="Times New Roman"/>
      <family val="1"/>
      <charset val="204"/>
    </font>
    <font>
      <b/>
      <i/>
      <sz val="12"/>
      <color rgb="FF0070C0"/>
      <name val="Times New Roman"/>
      <family val="1"/>
      <charset val="204"/>
    </font>
    <font>
      <b/>
      <i/>
      <sz val="12"/>
      <color rgb="FF7030A0"/>
      <name val="Times New Roman"/>
      <family val="1"/>
      <charset val="204"/>
    </font>
    <font>
      <b/>
      <i/>
      <sz val="11"/>
      <color rgb="FF00B050"/>
      <name val="Times New Roman"/>
      <family val="1"/>
      <charset val="204"/>
    </font>
    <font>
      <b/>
      <i/>
      <sz val="12"/>
      <color rgb="FF00B050"/>
      <name val="Times New Roman"/>
      <family val="1"/>
      <charset val="204"/>
    </font>
    <font>
      <b/>
      <sz val="18"/>
      <color rgb="FF7030A0"/>
      <name val="Times New Roman"/>
      <family val="1"/>
      <charset val="204"/>
    </font>
    <font>
      <b/>
      <sz val="20"/>
      <color rgb="FF7030A0"/>
      <name val="Times New Roman"/>
      <family val="1"/>
      <charset val="204"/>
    </font>
    <font>
      <b/>
      <sz val="16"/>
      <color rgb="FFFF0000"/>
      <name val="Times New Roman"/>
      <family val="1"/>
      <charset val="204"/>
    </font>
    <font>
      <b/>
      <sz val="12"/>
      <color rgb="FFC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7030A0"/>
      </bottom>
      <diagonal/>
    </border>
    <border>
      <left style="thick">
        <color rgb="FF7030A0"/>
      </left>
      <right style="thin">
        <color indexed="64"/>
      </right>
      <top style="thick">
        <color rgb="FF7030A0"/>
      </top>
      <bottom style="thick">
        <color rgb="FF7030A0"/>
      </bottom>
      <diagonal/>
    </border>
    <border>
      <left style="thin">
        <color indexed="64"/>
      </left>
      <right style="thin">
        <color indexed="64"/>
      </right>
      <top style="thick">
        <color rgb="FF7030A0"/>
      </top>
      <bottom style="thick">
        <color rgb="FF7030A0"/>
      </bottom>
      <diagonal/>
    </border>
    <border>
      <left style="thin">
        <color indexed="64"/>
      </left>
      <right style="thick">
        <color rgb="FF7030A0"/>
      </right>
      <top style="thick">
        <color rgb="FF7030A0"/>
      </top>
      <bottom style="thick">
        <color rgb="FF7030A0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0" xfId="0" applyFont="1"/>
    <xf numFmtId="0" fontId="3" fillId="0" borderId="0" xfId="0" applyFont="1" applyFill="1" applyBorder="1"/>
    <xf numFmtId="0" fontId="4" fillId="0" borderId="0" xfId="0" applyFont="1"/>
    <xf numFmtId="0" fontId="5" fillId="0" borderId="0" xfId="0" applyFont="1"/>
    <xf numFmtId="0" fontId="1" fillId="0" borderId="0" xfId="0" applyFont="1" applyBorder="1"/>
    <xf numFmtId="0" fontId="6" fillId="0" borderId="0" xfId="0" applyFont="1"/>
    <xf numFmtId="0" fontId="1" fillId="0" borderId="3" xfId="0" applyFont="1" applyFill="1" applyBorder="1"/>
    <xf numFmtId="0" fontId="8" fillId="0" borderId="0" xfId="0" applyFont="1"/>
    <xf numFmtId="0" fontId="4" fillId="0" borderId="2" xfId="0" applyFont="1" applyFill="1" applyBorder="1"/>
    <xf numFmtId="0" fontId="4" fillId="0" borderId="3" xfId="0" applyFont="1" applyFill="1" applyBorder="1"/>
    <xf numFmtId="0" fontId="1" fillId="0" borderId="1" xfId="0" applyFont="1" applyFill="1" applyBorder="1"/>
    <xf numFmtId="0" fontId="1" fillId="0" borderId="4" xfId="0" applyFont="1" applyFill="1" applyBorder="1"/>
    <xf numFmtId="0" fontId="8" fillId="0" borderId="1" xfId="0" applyFont="1" applyBorder="1"/>
    <xf numFmtId="0" fontId="9" fillId="0" borderId="1" xfId="0" applyFont="1" applyBorder="1"/>
    <xf numFmtId="0" fontId="7" fillId="0" borderId="6" xfId="0" applyFont="1" applyBorder="1"/>
    <xf numFmtId="0" fontId="7" fillId="0" borderId="8" xfId="0" applyFont="1" applyBorder="1"/>
    <xf numFmtId="0" fontId="10" fillId="0" borderId="6" xfId="0" applyFont="1" applyBorder="1"/>
    <xf numFmtId="0" fontId="10" fillId="0" borderId="8" xfId="0" applyFont="1" applyBorder="1"/>
    <xf numFmtId="0" fontId="10" fillId="0" borderId="9" xfId="0" applyFont="1" applyBorder="1"/>
    <xf numFmtId="0" fontId="7" fillId="0" borderId="1" xfId="0" applyFont="1" applyBorder="1"/>
    <xf numFmtId="0" fontId="11" fillId="0" borderId="0" xfId="0" applyFont="1"/>
    <xf numFmtId="0" fontId="11" fillId="0" borderId="1" xfId="0" applyFont="1" applyBorder="1"/>
    <xf numFmtId="0" fontId="12" fillId="0" borderId="6" xfId="0" applyFont="1" applyBorder="1"/>
    <xf numFmtId="0" fontId="12" fillId="0" borderId="0" xfId="0" applyFont="1"/>
    <xf numFmtId="0" fontId="12" fillId="0" borderId="7" xfId="0" applyFont="1" applyBorder="1"/>
    <xf numFmtId="0" fontId="12" fillId="0" borderId="5" xfId="0" applyFont="1" applyBorder="1"/>
    <xf numFmtId="0" fontId="13" fillId="0" borderId="0" xfId="0" applyFont="1"/>
    <xf numFmtId="0" fontId="13" fillId="0" borderId="10" xfId="0" applyFont="1" applyBorder="1" applyAlignment="1">
      <alignment horizontal="center" vertical="center" wrapText="1"/>
    </xf>
    <xf numFmtId="0" fontId="0" fillId="0" borderId="0" xfId="0" applyFont="1"/>
    <xf numFmtId="0" fontId="15" fillId="0" borderId="0" xfId="0" applyFont="1"/>
    <xf numFmtId="0" fontId="13" fillId="0" borderId="11" xfId="0" applyFont="1" applyBorder="1" applyAlignment="1">
      <alignment horizontal="center" vertical="center" wrapText="1"/>
    </xf>
    <xf numFmtId="0" fontId="13" fillId="0" borderId="1" xfId="0" applyFont="1" applyBorder="1"/>
    <xf numFmtId="0" fontId="16" fillId="0" borderId="1" xfId="0" applyFont="1" applyBorder="1"/>
    <xf numFmtId="0" fontId="17" fillId="0" borderId="1" xfId="0" applyFont="1" applyBorder="1"/>
    <xf numFmtId="0" fontId="13" fillId="0" borderId="1" xfId="0" applyFont="1" applyBorder="1" applyAlignment="1">
      <alignment vertical="top" wrapText="1"/>
    </xf>
    <xf numFmtId="0" fontId="16" fillId="0" borderId="0" xfId="0" applyFont="1"/>
    <xf numFmtId="0" fontId="18" fillId="0" borderId="0" xfId="0" applyFont="1"/>
    <xf numFmtId="0" fontId="4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9" fillId="0" borderId="0" xfId="0" applyFont="1"/>
    <xf numFmtId="0" fontId="13" fillId="0" borderId="0" xfId="0" applyFont="1" applyAlignment="1">
      <alignment horizontal="right"/>
    </xf>
    <xf numFmtId="0" fontId="19" fillId="0" borderId="1" xfId="0" applyFont="1" applyBorder="1"/>
    <xf numFmtId="0" fontId="13" fillId="0" borderId="1" xfId="0" applyFont="1" applyBorder="1" applyAlignment="1">
      <alignment horizontal="center"/>
    </xf>
    <xf numFmtId="0" fontId="13" fillId="0" borderId="13" xfId="0" applyFont="1" applyBorder="1"/>
    <xf numFmtId="0" fontId="13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right"/>
    </xf>
    <xf numFmtId="0" fontId="16" fillId="0" borderId="13" xfId="0" applyFont="1" applyBorder="1" applyAlignment="1">
      <alignment horizontal="right"/>
    </xf>
    <xf numFmtId="0" fontId="16" fillId="0" borderId="14" xfId="0" applyFont="1" applyBorder="1"/>
    <xf numFmtId="0" fontId="16" fillId="0" borderId="15" xfId="0" applyFont="1" applyBorder="1"/>
    <xf numFmtId="0" fontId="22" fillId="0" borderId="0" xfId="0" applyFont="1"/>
    <xf numFmtId="2" fontId="19" fillId="0" borderId="6" xfId="0" applyNumberFormat="1" applyFont="1" applyBorder="1"/>
    <xf numFmtId="2" fontId="19" fillId="0" borderId="8" xfId="0" applyNumberFormat="1" applyFont="1" applyBorder="1"/>
    <xf numFmtId="2" fontId="19" fillId="0" borderId="7" xfId="0" applyNumberFormat="1" applyFont="1" applyBorder="1"/>
    <xf numFmtId="0" fontId="23" fillId="0" borderId="15" xfId="0" applyFont="1" applyBorder="1"/>
    <xf numFmtId="0" fontId="13" fillId="2" borderId="10" xfId="0" applyFont="1" applyFill="1" applyBorder="1" applyAlignment="1">
      <alignment vertical="center" wrapText="1"/>
    </xf>
    <xf numFmtId="0" fontId="13" fillId="2" borderId="12" xfId="0" applyFont="1" applyFill="1" applyBorder="1" applyAlignment="1">
      <alignment vertical="center" wrapText="1"/>
    </xf>
    <xf numFmtId="0" fontId="24" fillId="0" borderId="1" xfId="0" applyFont="1" applyFill="1" applyBorder="1" applyAlignment="1">
      <alignment wrapText="1"/>
    </xf>
    <xf numFmtId="0" fontId="24" fillId="0" borderId="1" xfId="0" applyFont="1" applyBorder="1"/>
    <xf numFmtId="0" fontId="25" fillId="0" borderId="0" xfId="0" applyFont="1"/>
    <xf numFmtId="0" fontId="24" fillId="0" borderId="0" xfId="0" applyFont="1" applyFill="1" applyBorder="1"/>
    <xf numFmtId="0" fontId="24" fillId="0" borderId="0" xfId="0" applyFont="1"/>
    <xf numFmtId="0" fontId="4" fillId="0" borderId="13" xfId="0" applyFont="1" applyBorder="1" applyAlignment="1">
      <alignment wrapText="1"/>
    </xf>
    <xf numFmtId="0" fontId="4" fillId="0" borderId="15" xfId="0" applyFont="1" applyBorder="1"/>
    <xf numFmtId="0" fontId="1" fillId="0" borderId="6" xfId="0" applyFont="1" applyBorder="1"/>
    <xf numFmtId="0" fontId="1" fillId="0" borderId="8" xfId="0" applyFont="1" applyBorder="1"/>
    <xf numFmtId="0" fontId="4" fillId="0" borderId="7" xfId="0" applyFont="1" applyBorder="1"/>
    <xf numFmtId="0" fontId="16" fillId="0" borderId="1" xfId="0" applyFont="1" applyFill="1" applyBorder="1"/>
    <xf numFmtId="0" fontId="26" fillId="0" borderId="19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justify" vertical="center" wrapText="1"/>
    </xf>
    <xf numFmtId="0" fontId="29" fillId="0" borderId="20" xfId="0" applyFont="1" applyBorder="1" applyAlignment="1">
      <alignment horizontal="right"/>
    </xf>
    <xf numFmtId="0" fontId="29" fillId="0" borderId="21" xfId="0" applyFont="1" applyBorder="1"/>
    <xf numFmtId="0" fontId="29" fillId="0" borderId="22" xfId="0" applyFont="1" applyBorder="1" applyAlignment="1">
      <alignment horizontal="right"/>
    </xf>
    <xf numFmtId="0" fontId="29" fillId="0" borderId="19" xfId="0" applyFont="1" applyBorder="1"/>
    <xf numFmtId="0" fontId="28" fillId="0" borderId="0" xfId="0" applyFont="1" applyBorder="1" applyAlignment="1">
      <alignment horizontal="center" vertical="center" wrapText="1"/>
    </xf>
    <xf numFmtId="0" fontId="28" fillId="0" borderId="0" xfId="0" applyFont="1"/>
    <xf numFmtId="0" fontId="28" fillId="0" borderId="10" xfId="0" applyFont="1" applyBorder="1" applyAlignment="1">
      <alignment horizontal="right" vertical="center" wrapText="1"/>
    </xf>
    <xf numFmtId="0" fontId="28" fillId="0" borderId="11" xfId="0" applyFont="1" applyBorder="1" applyAlignment="1">
      <alignment horizontal="right" vertical="center" wrapText="1"/>
    </xf>
    <xf numFmtId="0" fontId="19" fillId="0" borderId="1" xfId="0" applyFont="1" applyBorder="1" applyAlignment="1">
      <alignment horizontal="justify" vertical="center" wrapText="1"/>
    </xf>
    <xf numFmtId="0" fontId="31" fillId="0" borderId="1" xfId="0" applyFont="1" applyBorder="1"/>
    <xf numFmtId="0" fontId="32" fillId="0" borderId="1" xfId="0" applyFont="1" applyBorder="1"/>
    <xf numFmtId="0" fontId="26" fillId="0" borderId="0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justify" vertical="center" wrapText="1"/>
    </xf>
    <xf numFmtId="0" fontId="28" fillId="0" borderId="0" xfId="0" applyFont="1" applyBorder="1" applyAlignment="1">
      <alignment horizontal="right" vertical="center" wrapText="1"/>
    </xf>
    <xf numFmtId="0" fontId="19" fillId="0" borderId="0" xfId="0" applyFont="1" applyBorder="1" applyAlignment="1">
      <alignment horizontal="justify" vertical="center" wrapText="1"/>
    </xf>
    <xf numFmtId="0" fontId="31" fillId="0" borderId="0" xfId="0" applyFont="1" applyBorder="1"/>
    <xf numFmtId="0" fontId="32" fillId="0" borderId="0" xfId="0" applyFont="1" applyBorder="1"/>
    <xf numFmtId="0" fontId="26" fillId="0" borderId="0" xfId="0" applyFont="1"/>
    <xf numFmtId="0" fontId="34" fillId="0" borderId="20" xfId="0" applyFont="1" applyBorder="1"/>
    <xf numFmtId="0" fontId="0" fillId="0" borderId="21" xfId="0" applyBorder="1"/>
    <xf numFmtId="0" fontId="29" fillId="0" borderId="23" xfId="0" applyFont="1" applyBorder="1"/>
    <xf numFmtId="0" fontId="0" fillId="0" borderId="24" xfId="0" applyBorder="1"/>
    <xf numFmtId="0" fontId="33" fillId="0" borderId="20" xfId="0" applyFont="1" applyBorder="1"/>
    <xf numFmtId="0" fontId="19" fillId="0" borderId="23" xfId="0" applyFont="1" applyBorder="1"/>
    <xf numFmtId="0" fontId="19" fillId="0" borderId="24" xfId="0" applyFont="1" applyBorder="1"/>
    <xf numFmtId="0" fontId="17" fillId="0" borderId="20" xfId="0" applyFont="1" applyBorder="1"/>
    <xf numFmtId="0" fontId="15" fillId="0" borderId="25" xfId="0" applyFont="1" applyBorder="1"/>
    <xf numFmtId="0" fontId="15" fillId="0" borderId="21" xfId="0" applyFont="1" applyBorder="1"/>
    <xf numFmtId="0" fontId="17" fillId="0" borderId="23" xfId="0" applyFont="1" applyBorder="1"/>
    <xf numFmtId="0" fontId="17" fillId="0" borderId="0" xfId="0" applyFont="1" applyBorder="1"/>
    <xf numFmtId="0" fontId="17" fillId="0" borderId="24" xfId="0" applyFont="1" applyBorder="1"/>
    <xf numFmtId="0" fontId="17" fillId="0" borderId="22" xfId="0" applyFont="1" applyBorder="1"/>
    <xf numFmtId="0" fontId="17" fillId="0" borderId="26" xfId="0" applyFont="1" applyBorder="1"/>
    <xf numFmtId="0" fontId="17" fillId="0" borderId="19" xfId="0" applyFont="1" applyBorder="1"/>
    <xf numFmtId="0" fontId="12" fillId="0" borderId="0" xfId="0" applyFont="1" applyBorder="1"/>
    <xf numFmtId="0" fontId="9" fillId="0" borderId="0" xfId="0" applyFont="1" applyBorder="1"/>
    <xf numFmtId="0" fontId="19" fillId="0" borderId="1" xfId="0" applyFont="1" applyFill="1" applyBorder="1"/>
    <xf numFmtId="0" fontId="1" fillId="0" borderId="1" xfId="0" applyFont="1" applyBorder="1" applyAlignment="1">
      <alignment horizontal="right"/>
    </xf>
    <xf numFmtId="0" fontId="35" fillId="0" borderId="1" xfId="0" applyFont="1" applyFill="1" applyBorder="1" applyAlignment="1">
      <alignment horizontal="right"/>
    </xf>
    <xf numFmtId="0" fontId="10" fillId="0" borderId="0" xfId="0" applyFont="1" applyBorder="1"/>
    <xf numFmtId="0" fontId="7" fillId="0" borderId="0" xfId="0" applyFont="1" applyBorder="1"/>
    <xf numFmtId="0" fontId="11" fillId="0" borderId="0" xfId="0" applyFont="1" applyBorder="1"/>
    <xf numFmtId="0" fontId="0" fillId="0" borderId="0" xfId="0" applyBorder="1"/>
    <xf numFmtId="0" fontId="9" fillId="0" borderId="0" xfId="0" applyFont="1" applyBorder="1" applyAlignment="1">
      <alignment horizontal="right"/>
    </xf>
    <xf numFmtId="0" fontId="1" fillId="0" borderId="9" xfId="0" applyFont="1" applyBorder="1"/>
    <xf numFmtId="0" fontId="17" fillId="0" borderId="13" xfId="0" applyFont="1" applyBorder="1"/>
    <xf numFmtId="0" fontId="5" fillId="0" borderId="15" xfId="0" applyFont="1" applyBorder="1"/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/>
    <xf numFmtId="0" fontId="3" fillId="0" borderId="13" xfId="0" applyFont="1" applyFill="1" applyBorder="1"/>
    <xf numFmtId="0" fontId="0" fillId="0" borderId="14" xfId="0" applyBorder="1"/>
    <xf numFmtId="0" fontId="41" fillId="0" borderId="15" xfId="0" applyFont="1" applyBorder="1"/>
    <xf numFmtId="0" fontId="4" fillId="0" borderId="0" xfId="0" applyFont="1" applyFill="1" applyBorder="1"/>
    <xf numFmtId="0" fontId="19" fillId="0" borderId="4" xfId="0" applyFont="1" applyFill="1" applyBorder="1" applyAlignment="1">
      <alignment horizontal="right"/>
    </xf>
    <xf numFmtId="0" fontId="19" fillId="0" borderId="4" xfId="0" applyFont="1" applyBorder="1"/>
    <xf numFmtId="0" fontId="38" fillId="0" borderId="16" xfId="0" applyFont="1" applyFill="1" applyBorder="1"/>
    <xf numFmtId="0" fontId="37" fillId="0" borderId="16" xfId="0" applyFont="1" applyBorder="1"/>
    <xf numFmtId="0" fontId="0" fillId="0" borderId="27" xfId="0" applyBorder="1"/>
    <xf numFmtId="0" fontId="40" fillId="0" borderId="29" xfId="0" applyFont="1" applyFill="1" applyBorder="1"/>
    <xf numFmtId="0" fontId="40" fillId="0" borderId="30" xfId="0" applyFont="1" applyFill="1" applyBorder="1"/>
    <xf numFmtId="0" fontId="39" fillId="0" borderId="28" xfId="0" applyFont="1" applyFill="1" applyBorder="1" applyAlignment="1">
      <alignment wrapText="1"/>
    </xf>
    <xf numFmtId="0" fontId="42" fillId="0" borderId="1" xfId="0" applyFont="1" applyBorder="1" applyAlignment="1">
      <alignment horizontal="right"/>
    </xf>
    <xf numFmtId="0" fontId="42" fillId="0" borderId="1" xfId="0" applyFont="1" applyBorder="1"/>
    <xf numFmtId="0" fontId="1" fillId="0" borderId="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26" fillId="0" borderId="6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/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333374</xdr:colOff>
      <xdr:row>8</xdr:row>
      <xdr:rowOff>114300</xdr:rowOff>
    </xdr:from>
    <xdr:to>
      <xdr:col>5</xdr:col>
      <xdr:colOff>581024</xdr:colOff>
      <xdr:row>9</xdr:row>
      <xdr:rowOff>38100</xdr:rowOff>
    </xdr:to>
    <xdr:sp macro="" textlink="">
      <xdr:nvSpPr>
        <xdr:cNvPr id="2" name="Выноска 1 1"/>
        <xdr:cNvSpPr/>
      </xdr:nvSpPr>
      <xdr:spPr>
        <a:xfrm>
          <a:off x="2524124" y="1714500"/>
          <a:ext cx="1514475" cy="333375"/>
        </a:xfrm>
        <a:prstGeom prst="borderCallout1">
          <a:avLst>
            <a:gd name="adj1" fmla="val 4464"/>
            <a:gd name="adj2" fmla="val 47312"/>
            <a:gd name="adj3" fmla="val -353215"/>
            <a:gd name="adj4" fmla="val 91273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=СУММ(</a:t>
          </a:r>
          <a:r>
            <a:rPr lang="en-US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B3:E3)</a:t>
          </a:r>
          <a:endParaRPr lang="ru-RU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9525</xdr:colOff>
      <xdr:row>9</xdr:row>
      <xdr:rowOff>76200</xdr:rowOff>
    </xdr:from>
    <xdr:to>
      <xdr:col>6</xdr:col>
      <xdr:colOff>1000125</xdr:colOff>
      <xdr:row>10</xdr:row>
      <xdr:rowOff>209550</xdr:rowOff>
    </xdr:to>
    <xdr:sp macro="" textlink="">
      <xdr:nvSpPr>
        <xdr:cNvPr id="3" name="Выноска 1 2"/>
        <xdr:cNvSpPr/>
      </xdr:nvSpPr>
      <xdr:spPr>
        <a:xfrm>
          <a:off x="4381500" y="2085975"/>
          <a:ext cx="990600" cy="333375"/>
        </a:xfrm>
        <a:prstGeom prst="borderCallout1">
          <a:avLst>
            <a:gd name="adj1" fmla="val 4464"/>
            <a:gd name="adj2" fmla="val 47312"/>
            <a:gd name="adj3" fmla="val -461786"/>
            <a:gd name="adj4" fmla="val 7685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=F3-$B$9</a:t>
          </a:r>
          <a:endParaRPr lang="ru-RU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1295400</xdr:colOff>
      <xdr:row>13</xdr:row>
      <xdr:rowOff>57150</xdr:rowOff>
    </xdr:from>
    <xdr:to>
      <xdr:col>1</xdr:col>
      <xdr:colOff>361950</xdr:colOff>
      <xdr:row>14</xdr:row>
      <xdr:rowOff>190500</xdr:rowOff>
    </xdr:to>
    <xdr:sp macro="" textlink="">
      <xdr:nvSpPr>
        <xdr:cNvPr id="4" name="Выноска 1 3"/>
        <xdr:cNvSpPr/>
      </xdr:nvSpPr>
      <xdr:spPr>
        <a:xfrm>
          <a:off x="1295400" y="3105150"/>
          <a:ext cx="781050" cy="333375"/>
        </a:xfrm>
        <a:prstGeom prst="borderCallout1">
          <a:avLst>
            <a:gd name="adj1" fmla="val 4464"/>
            <a:gd name="adj2" fmla="val 47312"/>
            <a:gd name="adj3" fmla="val -98929"/>
            <a:gd name="adj4" fmla="val 65312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=H9/B9</a:t>
          </a:r>
          <a:endParaRPr lang="ru-RU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114300</xdr:colOff>
      <xdr:row>12</xdr:row>
      <xdr:rowOff>19050</xdr:rowOff>
    </xdr:from>
    <xdr:to>
      <xdr:col>5</xdr:col>
      <xdr:colOff>704850</xdr:colOff>
      <xdr:row>13</xdr:row>
      <xdr:rowOff>152400</xdr:rowOff>
    </xdr:to>
    <xdr:sp macro="" textlink="">
      <xdr:nvSpPr>
        <xdr:cNvPr id="5" name="Выноска 1 4"/>
        <xdr:cNvSpPr/>
      </xdr:nvSpPr>
      <xdr:spPr>
        <a:xfrm>
          <a:off x="2724150" y="2867025"/>
          <a:ext cx="1438275" cy="333375"/>
        </a:xfrm>
        <a:prstGeom prst="borderCallout1">
          <a:avLst>
            <a:gd name="adj1" fmla="val 38750"/>
            <a:gd name="adj2" fmla="val 101617"/>
            <a:gd name="adj3" fmla="val 21071"/>
            <a:gd name="adj4" fmla="val 155378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=ABS(F3-$B$9)</a:t>
          </a:r>
          <a:endParaRPr lang="ru-RU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38101</xdr:colOff>
      <xdr:row>14</xdr:row>
      <xdr:rowOff>123825</xdr:rowOff>
    </xdr:from>
    <xdr:to>
      <xdr:col>6</xdr:col>
      <xdr:colOff>200026</xdr:colOff>
      <xdr:row>16</xdr:row>
      <xdr:rowOff>57150</xdr:rowOff>
    </xdr:to>
    <xdr:sp macro="" textlink="">
      <xdr:nvSpPr>
        <xdr:cNvPr id="6" name="Выноска 1 5"/>
        <xdr:cNvSpPr/>
      </xdr:nvSpPr>
      <xdr:spPr>
        <a:xfrm>
          <a:off x="2647951" y="3371850"/>
          <a:ext cx="1924050" cy="333375"/>
        </a:xfrm>
        <a:prstGeom prst="borderCallout1">
          <a:avLst>
            <a:gd name="adj1" fmla="val 38750"/>
            <a:gd name="adj2" fmla="val 101617"/>
            <a:gd name="adj3" fmla="val 155356"/>
            <a:gd name="adj4" fmla="val 133134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=СРЗНАЧ(</a:t>
          </a:r>
          <a:r>
            <a:rPr lang="en-US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G13:G17)</a:t>
          </a:r>
          <a:endParaRPr lang="ru-RU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866775</xdr:colOff>
      <xdr:row>11</xdr:row>
      <xdr:rowOff>9525</xdr:rowOff>
    </xdr:from>
    <xdr:to>
      <xdr:col>8</xdr:col>
      <xdr:colOff>133350</xdr:colOff>
      <xdr:row>11</xdr:row>
      <xdr:rowOff>342900</xdr:rowOff>
    </xdr:to>
    <xdr:sp macro="" textlink="">
      <xdr:nvSpPr>
        <xdr:cNvPr id="7" name="Выноска 1 6"/>
        <xdr:cNvSpPr/>
      </xdr:nvSpPr>
      <xdr:spPr>
        <a:xfrm>
          <a:off x="5238750" y="2466975"/>
          <a:ext cx="1228725" cy="333375"/>
        </a:xfrm>
        <a:prstGeom prst="borderCallout1">
          <a:avLst>
            <a:gd name="adj1" fmla="val 4464"/>
            <a:gd name="adj2" fmla="val 47312"/>
            <a:gd name="adj3" fmla="val -161786"/>
            <a:gd name="adj4" fmla="val 56701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=(H8/5)^(1/2)</a:t>
          </a:r>
          <a:endParaRPr lang="ru-RU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5</xdr:row>
      <xdr:rowOff>161925</xdr:rowOff>
    </xdr:from>
    <xdr:to>
      <xdr:col>2</xdr:col>
      <xdr:colOff>428625</xdr:colOff>
      <xdr:row>7</xdr:row>
      <xdr:rowOff>85725</xdr:rowOff>
    </xdr:to>
    <xdr:sp macro="" textlink="">
      <xdr:nvSpPr>
        <xdr:cNvPr id="2" name="Скругленная прямоугольная выноска 1"/>
        <xdr:cNvSpPr/>
      </xdr:nvSpPr>
      <xdr:spPr>
        <a:xfrm>
          <a:off x="76200" y="1666875"/>
          <a:ext cx="1571625" cy="352425"/>
        </a:xfrm>
        <a:prstGeom prst="wedgeRoundRectCallout">
          <a:avLst>
            <a:gd name="adj1" fmla="val 165748"/>
            <a:gd name="adj2" fmla="val -322201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400" b="1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=СУММ(</a:t>
          </a:r>
          <a:r>
            <a:rPr lang="en-US" sz="1400" b="1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B2:E2)</a:t>
          </a:r>
          <a:endParaRPr lang="ru-RU" sz="1400" b="1">
            <a:solidFill>
              <a:srgbClr val="7030A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514350</xdr:colOff>
      <xdr:row>6</xdr:row>
      <xdr:rowOff>95250</xdr:rowOff>
    </xdr:from>
    <xdr:to>
      <xdr:col>5</xdr:col>
      <xdr:colOff>133350</xdr:colOff>
      <xdr:row>8</xdr:row>
      <xdr:rowOff>66675</xdr:rowOff>
    </xdr:to>
    <xdr:sp macro="" textlink="">
      <xdr:nvSpPr>
        <xdr:cNvPr id="4" name="Скругленная прямоугольная выноска 3"/>
        <xdr:cNvSpPr/>
      </xdr:nvSpPr>
      <xdr:spPr>
        <a:xfrm>
          <a:off x="1733550" y="1838325"/>
          <a:ext cx="1571625" cy="352425"/>
        </a:xfrm>
        <a:prstGeom prst="wedgeRoundRectCallout">
          <a:avLst>
            <a:gd name="adj1" fmla="val 87566"/>
            <a:gd name="adj2" fmla="val -92471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400" b="1">
              <a:solidFill>
                <a:srgbClr val="C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=СУММ(</a:t>
          </a:r>
          <a:r>
            <a:rPr lang="en-US" sz="1400" b="1">
              <a:solidFill>
                <a:srgbClr val="C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F2:F5)</a:t>
          </a:r>
          <a:endParaRPr lang="ru-RU" sz="1400" b="1">
            <a:solidFill>
              <a:srgbClr val="C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619126</xdr:colOff>
      <xdr:row>6</xdr:row>
      <xdr:rowOff>133350</xdr:rowOff>
    </xdr:from>
    <xdr:to>
      <xdr:col>6</xdr:col>
      <xdr:colOff>390526</xdr:colOff>
      <xdr:row>8</xdr:row>
      <xdr:rowOff>104775</xdr:rowOff>
    </xdr:to>
    <xdr:sp macro="" textlink="">
      <xdr:nvSpPr>
        <xdr:cNvPr id="5" name="Скругленная прямоугольная выноска 4"/>
        <xdr:cNvSpPr/>
      </xdr:nvSpPr>
      <xdr:spPr>
        <a:xfrm>
          <a:off x="3790951" y="1876425"/>
          <a:ext cx="876300" cy="352425"/>
        </a:xfrm>
        <a:prstGeom prst="wedgeRoundRectCallout">
          <a:avLst>
            <a:gd name="adj1" fmla="val 32131"/>
            <a:gd name="adj2" fmla="val -405984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=F2/F$6</a:t>
          </a:r>
          <a:endParaRPr lang="ru-RU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6</xdr:row>
      <xdr:rowOff>85725</xdr:rowOff>
    </xdr:from>
    <xdr:to>
      <xdr:col>18</xdr:col>
      <xdr:colOff>304800</xdr:colOff>
      <xdr:row>7</xdr:row>
      <xdr:rowOff>200025</xdr:rowOff>
    </xdr:to>
    <xdr:sp macro="" textlink="">
      <xdr:nvSpPr>
        <xdr:cNvPr id="2" name="Скругленная прямоугольная выноска 1"/>
        <xdr:cNvSpPr/>
      </xdr:nvSpPr>
      <xdr:spPr>
        <a:xfrm>
          <a:off x="3876675" y="1524000"/>
          <a:ext cx="2266950" cy="352425"/>
        </a:xfrm>
        <a:prstGeom prst="wedgeRoundRectCallout">
          <a:avLst>
            <a:gd name="adj1" fmla="val -30125"/>
            <a:gd name="adj2" fmla="val -388851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C2=$B$9;C$1;0)</a:t>
          </a:r>
          <a:endParaRPr lang="ru-RU" sz="1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438150</xdr:colOff>
      <xdr:row>6</xdr:row>
      <xdr:rowOff>114300</xdr:rowOff>
    </xdr:from>
    <xdr:to>
      <xdr:col>26</xdr:col>
      <xdr:colOff>400050</xdr:colOff>
      <xdr:row>7</xdr:row>
      <xdr:rowOff>228600</xdr:rowOff>
    </xdr:to>
    <xdr:sp macro="" textlink="">
      <xdr:nvSpPr>
        <xdr:cNvPr id="3" name="Скругленная прямоугольная выноска 2"/>
        <xdr:cNvSpPr/>
      </xdr:nvSpPr>
      <xdr:spPr>
        <a:xfrm>
          <a:off x="6276975" y="1552575"/>
          <a:ext cx="2266950" cy="352425"/>
        </a:xfrm>
        <a:prstGeom prst="wedgeRoundRectCallout">
          <a:avLst>
            <a:gd name="adj1" fmla="val -56596"/>
            <a:gd name="adj2" fmla="val -391554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C2=$B$10;C$1;0)</a:t>
          </a:r>
          <a:endParaRPr lang="ru-RU" sz="1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85725</xdr:colOff>
      <xdr:row>21</xdr:row>
      <xdr:rowOff>114300</xdr:rowOff>
    </xdr:from>
    <xdr:to>
      <xdr:col>24</xdr:col>
      <xdr:colOff>104775</xdr:colOff>
      <xdr:row>22</xdr:row>
      <xdr:rowOff>228600</xdr:rowOff>
    </xdr:to>
    <xdr:sp macro="" textlink="">
      <xdr:nvSpPr>
        <xdr:cNvPr id="4" name="Скругленная прямоугольная выноска 3"/>
        <xdr:cNvSpPr/>
      </xdr:nvSpPr>
      <xdr:spPr>
        <a:xfrm>
          <a:off x="5191125" y="5295900"/>
          <a:ext cx="2266950" cy="352425"/>
        </a:xfrm>
        <a:prstGeom prst="wedgeRoundRectCallout">
          <a:avLst>
            <a:gd name="adj1" fmla="val -89369"/>
            <a:gd name="adj2" fmla="val 81419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C2=$B$15;C$1;0)</a:t>
          </a:r>
          <a:endParaRPr lang="ru-RU" sz="1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161924</xdr:colOff>
      <xdr:row>17</xdr:row>
      <xdr:rowOff>133350</xdr:rowOff>
    </xdr:from>
    <xdr:to>
      <xdr:col>9</xdr:col>
      <xdr:colOff>123825</xdr:colOff>
      <xdr:row>19</xdr:row>
      <xdr:rowOff>9525</xdr:rowOff>
    </xdr:to>
    <xdr:sp macro="" textlink="">
      <xdr:nvSpPr>
        <xdr:cNvPr id="5" name="Скругленная прямоугольная выноска 4"/>
        <xdr:cNvSpPr/>
      </xdr:nvSpPr>
      <xdr:spPr>
        <a:xfrm>
          <a:off x="1866899" y="4362450"/>
          <a:ext cx="1733551" cy="352425"/>
        </a:xfrm>
        <a:prstGeom prst="wedgeRoundRectCallout">
          <a:avLst>
            <a:gd name="adj1" fmla="val -40338"/>
            <a:gd name="adj2" fmla="val -245607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=СУММ(</a:t>
          </a:r>
          <a:r>
            <a:rPr lang="en-US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K24:Q28)</a:t>
          </a:r>
          <a:endParaRPr lang="ru-RU" sz="1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85725</xdr:colOff>
      <xdr:row>15</xdr:row>
      <xdr:rowOff>171450</xdr:rowOff>
    </xdr:from>
    <xdr:to>
      <xdr:col>9</xdr:col>
      <xdr:colOff>276226</xdr:colOff>
      <xdr:row>17</xdr:row>
      <xdr:rowOff>28575</xdr:rowOff>
    </xdr:to>
    <xdr:sp macro="" textlink="">
      <xdr:nvSpPr>
        <xdr:cNvPr id="6" name="Скругленная прямоугольная выноска 5"/>
        <xdr:cNvSpPr/>
      </xdr:nvSpPr>
      <xdr:spPr>
        <a:xfrm>
          <a:off x="2638425" y="3905250"/>
          <a:ext cx="1114426" cy="352425"/>
        </a:xfrm>
        <a:prstGeom prst="wedgeRoundRectCallout">
          <a:avLst>
            <a:gd name="adj1" fmla="val -41282"/>
            <a:gd name="adj2" fmla="val -129390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=D</a:t>
          </a:r>
          <a:r>
            <a:rPr lang="ru-RU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15</a:t>
          </a:r>
          <a:r>
            <a:rPr lang="en-US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/D$17</a:t>
          </a:r>
          <a:endParaRPr lang="ru-RU" sz="1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endParaRPr lang="ru-RU" sz="1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1000125</xdr:colOff>
      <xdr:row>20</xdr:row>
      <xdr:rowOff>171450</xdr:rowOff>
    </xdr:from>
    <xdr:to>
      <xdr:col>1</xdr:col>
      <xdr:colOff>180975</xdr:colOff>
      <xdr:row>22</xdr:row>
      <xdr:rowOff>66675</xdr:rowOff>
    </xdr:to>
    <xdr:sp macro="" textlink="">
      <xdr:nvSpPr>
        <xdr:cNvPr id="2" name="Выноска 1 1"/>
        <xdr:cNvSpPr/>
      </xdr:nvSpPr>
      <xdr:spPr>
        <a:xfrm>
          <a:off x="1000125" y="6324600"/>
          <a:ext cx="1123950" cy="276225"/>
        </a:xfrm>
        <a:prstGeom prst="borderCallout1">
          <a:avLst>
            <a:gd name="adj1" fmla="val -3978"/>
            <a:gd name="adj2" fmla="val 67091"/>
            <a:gd name="adj3" fmla="val -277077"/>
            <a:gd name="adj4" fmla="val 101498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=B13*$i20</a:t>
          </a:r>
          <a:endParaRPr lang="ru-RU" sz="1400" b="1">
            <a:solidFill>
              <a:srgbClr val="00B0F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438150</xdr:colOff>
      <xdr:row>20</xdr:row>
      <xdr:rowOff>171450</xdr:rowOff>
    </xdr:from>
    <xdr:to>
      <xdr:col>2</xdr:col>
      <xdr:colOff>352425</xdr:colOff>
      <xdr:row>22</xdr:row>
      <xdr:rowOff>66675</xdr:rowOff>
    </xdr:to>
    <xdr:sp macro="" textlink="">
      <xdr:nvSpPr>
        <xdr:cNvPr id="3" name="Выноска 1 2"/>
        <xdr:cNvSpPr/>
      </xdr:nvSpPr>
      <xdr:spPr>
        <a:xfrm>
          <a:off x="2381250" y="6324600"/>
          <a:ext cx="1123950" cy="276225"/>
        </a:xfrm>
        <a:prstGeom prst="borderCallout1">
          <a:avLst>
            <a:gd name="adj1" fmla="val -530"/>
            <a:gd name="adj2" fmla="val 12854"/>
            <a:gd name="adj3" fmla="val -177077"/>
            <a:gd name="adj4" fmla="val 1082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=B14*$i21</a:t>
          </a:r>
        </a:p>
        <a:p>
          <a:pPr algn="l"/>
          <a:endParaRPr lang="ru-RU" sz="1400" b="1">
            <a:solidFill>
              <a:srgbClr val="00B0F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1571625</xdr:colOff>
      <xdr:row>22</xdr:row>
      <xdr:rowOff>171450</xdr:rowOff>
    </xdr:from>
    <xdr:to>
      <xdr:col>2</xdr:col>
      <xdr:colOff>95250</xdr:colOff>
      <xdr:row>24</xdr:row>
      <xdr:rowOff>66675</xdr:rowOff>
    </xdr:to>
    <xdr:sp macro="" textlink="">
      <xdr:nvSpPr>
        <xdr:cNvPr id="4" name="Выноска 1 3"/>
        <xdr:cNvSpPr/>
      </xdr:nvSpPr>
      <xdr:spPr>
        <a:xfrm>
          <a:off x="1571625" y="6705600"/>
          <a:ext cx="1676400" cy="276225"/>
        </a:xfrm>
        <a:prstGeom prst="borderCallout1">
          <a:avLst>
            <a:gd name="adj1" fmla="val -14323"/>
            <a:gd name="adj2" fmla="val 39559"/>
            <a:gd name="adj3" fmla="val -242594"/>
            <a:gd name="adj4" fmla="val 4207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400" b="1">
              <a:solidFill>
                <a:srgbClr val="C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=СУММ(</a:t>
          </a:r>
          <a:r>
            <a:rPr lang="en-US" sz="1400" b="1">
              <a:solidFill>
                <a:srgbClr val="C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B18:B19)</a:t>
          </a:r>
          <a:endParaRPr lang="ru-RU" sz="1400" b="1">
            <a:solidFill>
              <a:srgbClr val="C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85725</xdr:colOff>
      <xdr:row>8</xdr:row>
      <xdr:rowOff>180975</xdr:rowOff>
    </xdr:from>
    <xdr:to>
      <xdr:col>10</xdr:col>
      <xdr:colOff>295275</xdr:colOff>
      <xdr:row>10</xdr:row>
      <xdr:rowOff>95250</xdr:rowOff>
    </xdr:to>
    <xdr:sp macro="" textlink="">
      <xdr:nvSpPr>
        <xdr:cNvPr id="2" name="Выноска 1 1"/>
        <xdr:cNvSpPr/>
      </xdr:nvSpPr>
      <xdr:spPr>
        <a:xfrm>
          <a:off x="5419725" y="1781175"/>
          <a:ext cx="1428750" cy="352425"/>
        </a:xfrm>
        <a:prstGeom prst="borderCallout1">
          <a:avLst>
            <a:gd name="adj1" fmla="val -5492"/>
            <a:gd name="adj2" fmla="val 47765"/>
            <a:gd name="adj3" fmla="val -355068"/>
            <a:gd name="adj4" fmla="val 22896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=СУММ(</a:t>
          </a:r>
          <a:r>
            <a:rPr lang="en-US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I3:L3)</a:t>
          </a:r>
          <a:endParaRPr lang="ru-RU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371474</xdr:colOff>
      <xdr:row>9</xdr:row>
      <xdr:rowOff>104775</xdr:rowOff>
    </xdr:from>
    <xdr:to>
      <xdr:col>12</xdr:col>
      <xdr:colOff>638175</xdr:colOff>
      <xdr:row>11</xdr:row>
      <xdr:rowOff>19050</xdr:rowOff>
    </xdr:to>
    <xdr:sp macro="" textlink="">
      <xdr:nvSpPr>
        <xdr:cNvPr id="5" name="Выноска 1 4"/>
        <xdr:cNvSpPr/>
      </xdr:nvSpPr>
      <xdr:spPr>
        <a:xfrm>
          <a:off x="6924674" y="1943100"/>
          <a:ext cx="1828801" cy="314325"/>
        </a:xfrm>
        <a:prstGeom prst="borderCallout1">
          <a:avLst>
            <a:gd name="adj1" fmla="val -5492"/>
            <a:gd name="adj2" fmla="val 47765"/>
            <a:gd name="adj3" fmla="val -54167"/>
            <a:gd name="adj4" fmla="val 92314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400" b="1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=СРЗНАЧ(</a:t>
          </a:r>
          <a:r>
            <a:rPr lang="en-US" sz="1400" b="1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M3:M7)</a:t>
          </a:r>
          <a:endParaRPr lang="ru-RU" sz="1400" b="1">
            <a:solidFill>
              <a:srgbClr val="7030A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695326</xdr:colOff>
      <xdr:row>9</xdr:row>
      <xdr:rowOff>161925</xdr:rowOff>
    </xdr:from>
    <xdr:to>
      <xdr:col>14</xdr:col>
      <xdr:colOff>742950</xdr:colOff>
      <xdr:row>11</xdr:row>
      <xdr:rowOff>76200</xdr:rowOff>
    </xdr:to>
    <xdr:sp macro="" textlink="">
      <xdr:nvSpPr>
        <xdr:cNvPr id="6" name="Выноска 1 5"/>
        <xdr:cNvSpPr/>
      </xdr:nvSpPr>
      <xdr:spPr>
        <a:xfrm>
          <a:off x="8810626" y="2000250"/>
          <a:ext cx="1590674" cy="314325"/>
        </a:xfrm>
        <a:prstGeom prst="borderCallout1">
          <a:avLst>
            <a:gd name="adj1" fmla="val 6629"/>
            <a:gd name="adj2" fmla="val 15429"/>
            <a:gd name="adj3" fmla="val -463258"/>
            <a:gd name="adj4" fmla="val 20458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400" b="1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=СРЗНАЧ(</a:t>
          </a:r>
          <a:r>
            <a:rPr lang="en-US" sz="1400" b="1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I3:L3)</a:t>
          </a:r>
          <a:endParaRPr lang="ru-RU" sz="1400" b="1">
            <a:solidFill>
              <a:srgbClr val="7030A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752475</xdr:colOff>
      <xdr:row>14</xdr:row>
      <xdr:rowOff>133350</xdr:rowOff>
    </xdr:from>
    <xdr:to>
      <xdr:col>13</xdr:col>
      <xdr:colOff>457199</xdr:colOff>
      <xdr:row>16</xdr:row>
      <xdr:rowOff>38100</xdr:rowOff>
    </xdr:to>
    <xdr:sp macro="" textlink="">
      <xdr:nvSpPr>
        <xdr:cNvPr id="7" name="Выноска 1 6"/>
        <xdr:cNvSpPr/>
      </xdr:nvSpPr>
      <xdr:spPr>
        <a:xfrm>
          <a:off x="7915275" y="2990850"/>
          <a:ext cx="1590674" cy="314325"/>
        </a:xfrm>
        <a:prstGeom prst="borderCallout1">
          <a:avLst>
            <a:gd name="adj1" fmla="val 569"/>
            <a:gd name="adj2" fmla="val 13034"/>
            <a:gd name="adj3" fmla="val -799621"/>
            <a:gd name="adj4" fmla="val 178542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=ABS(M3-$M$9)</a:t>
          </a:r>
          <a:endParaRPr lang="ru-RU" sz="1400" b="1">
            <a:solidFill>
              <a:srgbClr val="00B05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1</xdr:colOff>
      <xdr:row>15</xdr:row>
      <xdr:rowOff>171450</xdr:rowOff>
    </xdr:from>
    <xdr:to>
      <xdr:col>15</xdr:col>
      <xdr:colOff>190501</xdr:colOff>
      <xdr:row>17</xdr:row>
      <xdr:rowOff>85725</xdr:rowOff>
    </xdr:to>
    <xdr:sp macro="" textlink="">
      <xdr:nvSpPr>
        <xdr:cNvPr id="8" name="Выноска 1 7"/>
        <xdr:cNvSpPr/>
      </xdr:nvSpPr>
      <xdr:spPr>
        <a:xfrm>
          <a:off x="9658351" y="3238500"/>
          <a:ext cx="971550" cy="314325"/>
        </a:xfrm>
        <a:prstGeom prst="borderCallout1">
          <a:avLst>
            <a:gd name="adj1" fmla="val -5492"/>
            <a:gd name="adj2" fmla="val 47765"/>
            <a:gd name="adj3" fmla="val -54167"/>
            <a:gd name="adj4" fmla="val 92314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=Q12/M9</a:t>
          </a:r>
          <a:endParaRPr lang="ru-RU" sz="1400" b="1">
            <a:solidFill>
              <a:srgbClr val="7030A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847724</xdr:colOff>
      <xdr:row>12</xdr:row>
      <xdr:rowOff>171450</xdr:rowOff>
    </xdr:from>
    <xdr:to>
      <xdr:col>17</xdr:col>
      <xdr:colOff>1181100</xdr:colOff>
      <xdr:row>14</xdr:row>
      <xdr:rowOff>85725</xdr:rowOff>
    </xdr:to>
    <xdr:sp macro="" textlink="">
      <xdr:nvSpPr>
        <xdr:cNvPr id="3" name="Выноска 1 2"/>
        <xdr:cNvSpPr/>
      </xdr:nvSpPr>
      <xdr:spPr>
        <a:xfrm>
          <a:off x="15449549" y="2571750"/>
          <a:ext cx="1866901" cy="314325"/>
        </a:xfrm>
        <a:prstGeom prst="borderCallout1">
          <a:avLst>
            <a:gd name="adj1" fmla="val 103599"/>
            <a:gd name="adj2" fmla="val 48275"/>
            <a:gd name="adj3" fmla="val 170076"/>
            <a:gd name="adj4" fmla="val 41294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4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=СРЗНАЧ(</a:t>
          </a:r>
          <a:r>
            <a:rPr lang="en-US" sz="14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K16:P16)</a:t>
          </a:r>
          <a:endParaRPr lang="ru-RU" sz="1400" b="1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876300</xdr:colOff>
      <xdr:row>20</xdr:row>
      <xdr:rowOff>38100</xdr:rowOff>
    </xdr:from>
    <xdr:to>
      <xdr:col>12</xdr:col>
      <xdr:colOff>342900</xdr:colOff>
      <xdr:row>21</xdr:row>
      <xdr:rowOff>152400</xdr:rowOff>
    </xdr:to>
    <xdr:sp macro="" textlink="">
      <xdr:nvSpPr>
        <xdr:cNvPr id="4" name="Выноска 1 3"/>
        <xdr:cNvSpPr/>
      </xdr:nvSpPr>
      <xdr:spPr>
        <a:xfrm>
          <a:off x="8686800" y="4210050"/>
          <a:ext cx="1733550" cy="314325"/>
        </a:xfrm>
        <a:prstGeom prst="borderCallout1">
          <a:avLst>
            <a:gd name="adj1" fmla="val 6629"/>
            <a:gd name="adj2" fmla="val 15429"/>
            <a:gd name="adj3" fmla="val -235985"/>
            <a:gd name="adj4" fmla="val -238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400" b="1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=СРЗНАЧ(</a:t>
          </a:r>
          <a:r>
            <a:rPr lang="en-US" sz="1400" b="1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K3:K15)</a:t>
          </a:r>
          <a:endParaRPr lang="ru-RU" sz="1400" b="1">
            <a:solidFill>
              <a:srgbClr val="7030A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1266825</xdr:colOff>
      <xdr:row>20</xdr:row>
      <xdr:rowOff>19050</xdr:rowOff>
    </xdr:from>
    <xdr:to>
      <xdr:col>10</xdr:col>
      <xdr:colOff>790575</xdr:colOff>
      <xdr:row>21</xdr:row>
      <xdr:rowOff>180975</xdr:rowOff>
    </xdr:to>
    <xdr:sp macro="" textlink="">
      <xdr:nvSpPr>
        <xdr:cNvPr id="5" name="Выноска 1 4"/>
        <xdr:cNvSpPr/>
      </xdr:nvSpPr>
      <xdr:spPr>
        <a:xfrm>
          <a:off x="6724650" y="4191000"/>
          <a:ext cx="1876425" cy="361950"/>
        </a:xfrm>
        <a:prstGeom prst="borderCallout1">
          <a:avLst>
            <a:gd name="adj1" fmla="val -17852"/>
            <a:gd name="adj2" fmla="val 59734"/>
            <a:gd name="adj3" fmla="val -144358"/>
            <a:gd name="adj4" fmla="val 64116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=ABS(K17-$R$16)</a:t>
          </a:r>
          <a:endParaRPr lang="ru-RU" sz="1400" b="1">
            <a:solidFill>
              <a:srgbClr val="00B05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16</xdr:col>
      <xdr:colOff>1381125</xdr:colOff>
      <xdr:row>23</xdr:row>
      <xdr:rowOff>133350</xdr:rowOff>
    </xdr:from>
    <xdr:to>
      <xdr:col>17</xdr:col>
      <xdr:colOff>904876</xdr:colOff>
      <xdr:row>25</xdr:row>
      <xdr:rowOff>38100</xdr:rowOff>
    </xdr:to>
    <xdr:sp macro="" textlink="">
      <xdr:nvSpPr>
        <xdr:cNvPr id="6" name="Выноска 1 5"/>
        <xdr:cNvSpPr/>
      </xdr:nvSpPr>
      <xdr:spPr>
        <a:xfrm>
          <a:off x="15982950" y="4962525"/>
          <a:ext cx="1057276" cy="304800"/>
        </a:xfrm>
        <a:prstGeom prst="borderCallout1">
          <a:avLst>
            <a:gd name="adj1" fmla="val -5492"/>
            <a:gd name="adj2" fmla="val 47765"/>
            <a:gd name="adj3" fmla="val -78125"/>
            <a:gd name="adj4" fmla="val 28888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=R21/R16</a:t>
          </a:r>
          <a:endParaRPr lang="ru-RU" sz="1400" b="1">
            <a:solidFill>
              <a:srgbClr val="7030A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200025</xdr:colOff>
      <xdr:row>20</xdr:row>
      <xdr:rowOff>123825</xdr:rowOff>
    </xdr:from>
    <xdr:to>
      <xdr:col>15</xdr:col>
      <xdr:colOff>1009650</xdr:colOff>
      <xdr:row>22</xdr:row>
      <xdr:rowOff>28575</xdr:rowOff>
    </xdr:to>
    <xdr:sp macro="" textlink="">
      <xdr:nvSpPr>
        <xdr:cNvPr id="7" name="Выноска 1 6"/>
        <xdr:cNvSpPr/>
      </xdr:nvSpPr>
      <xdr:spPr>
        <a:xfrm>
          <a:off x="12506325" y="4333875"/>
          <a:ext cx="1885950" cy="314325"/>
        </a:xfrm>
        <a:prstGeom prst="borderCallout1">
          <a:avLst>
            <a:gd name="adj1" fmla="val 42993"/>
            <a:gd name="adj2" fmla="val 99267"/>
            <a:gd name="adj3" fmla="val -60227"/>
            <a:gd name="adj4" fmla="val 196602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=СРЗНАЧ(</a:t>
          </a:r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K19:P19)</a:t>
          </a:r>
          <a:endParaRPr lang="ru-RU" sz="14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314325</xdr:colOff>
      <xdr:row>16</xdr:row>
      <xdr:rowOff>304799</xdr:rowOff>
    </xdr:from>
    <xdr:to>
      <xdr:col>3</xdr:col>
      <xdr:colOff>95251</xdr:colOff>
      <xdr:row>17</xdr:row>
      <xdr:rowOff>95249</xdr:rowOff>
    </xdr:to>
    <xdr:sp macro="" textlink="">
      <xdr:nvSpPr>
        <xdr:cNvPr id="8" name="Выноска 1 7"/>
        <xdr:cNvSpPr/>
      </xdr:nvSpPr>
      <xdr:spPr>
        <a:xfrm>
          <a:off x="314325" y="3562349"/>
          <a:ext cx="1914526" cy="676275"/>
        </a:xfrm>
        <a:prstGeom prst="borderCallout1">
          <a:avLst>
            <a:gd name="adj1" fmla="val 99386"/>
            <a:gd name="adj2" fmla="val 31845"/>
            <a:gd name="adj3" fmla="val 212118"/>
            <a:gd name="adj4" fmla="val 39335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=МАКС(</a:t>
          </a:r>
          <a:r>
            <a:rPr lang="en-US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B3:G15)</a:t>
          </a:r>
          <a:r>
            <a:rPr lang="ru-RU" sz="20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-</a:t>
          </a:r>
          <a:r>
            <a:rPr lang="ru-RU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В3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zoomScale="130" zoomScaleNormal="130" workbookViewId="0">
      <selection sqref="A1:A2"/>
    </sheetView>
  </sheetViews>
  <sheetFormatPr defaultRowHeight="15.75"/>
  <cols>
    <col min="1" max="1" width="25.7109375" style="1" customWidth="1"/>
    <col min="2" max="2" width="7.140625" style="1" customWidth="1"/>
    <col min="3" max="3" width="6.28515625" style="1" customWidth="1"/>
    <col min="4" max="4" width="6.5703125" style="1" customWidth="1"/>
    <col min="5" max="5" width="6.140625" style="1" customWidth="1"/>
    <col min="6" max="6" width="13.7109375" style="1" customWidth="1"/>
    <col min="7" max="7" width="17.140625" style="1" customWidth="1"/>
    <col min="8" max="8" width="12.28515625" style="1" customWidth="1"/>
    <col min="9" max="16384" width="9.140625" style="1"/>
  </cols>
  <sheetData>
    <row r="1" spans="1:8">
      <c r="A1" s="138" t="s">
        <v>64</v>
      </c>
      <c r="B1" s="140" t="s">
        <v>60</v>
      </c>
      <c r="C1" s="141"/>
      <c r="D1" s="141"/>
      <c r="E1" s="142"/>
      <c r="F1" s="143" t="s">
        <v>9</v>
      </c>
      <c r="G1" s="143" t="s">
        <v>10</v>
      </c>
      <c r="H1" s="145" t="s">
        <v>11</v>
      </c>
    </row>
    <row r="2" spans="1:8">
      <c r="A2" s="139"/>
      <c r="B2" s="2" t="s">
        <v>5</v>
      </c>
      <c r="C2" s="2" t="s">
        <v>6</v>
      </c>
      <c r="D2" s="2" t="s">
        <v>7</v>
      </c>
      <c r="E2" s="2" t="s">
        <v>8</v>
      </c>
      <c r="F2" s="144"/>
      <c r="G2" s="144"/>
      <c r="H2" s="145"/>
    </row>
    <row r="3" spans="1:8">
      <c r="A3" s="2" t="s">
        <v>0</v>
      </c>
      <c r="B3" s="3">
        <v>1</v>
      </c>
      <c r="C3" s="3">
        <v>1.5</v>
      </c>
      <c r="D3" s="3">
        <v>2</v>
      </c>
      <c r="E3" s="3">
        <v>1</v>
      </c>
      <c r="F3" s="3">
        <f>SUM(B3:E3)</f>
        <v>5.5</v>
      </c>
      <c r="G3" s="3">
        <f>F3-$B$9</f>
        <v>-6.5</v>
      </c>
      <c r="H3" s="3">
        <f>G3^2</f>
        <v>42.25</v>
      </c>
    </row>
    <row r="4" spans="1:8">
      <c r="A4" s="2" t="s">
        <v>1</v>
      </c>
      <c r="B4" s="3">
        <v>3</v>
      </c>
      <c r="C4" s="3">
        <v>1.5</v>
      </c>
      <c r="D4" s="3">
        <v>1</v>
      </c>
      <c r="E4" s="3">
        <v>2</v>
      </c>
      <c r="F4" s="3">
        <f t="shared" ref="F4:F7" si="0">SUM(B4:E4)</f>
        <v>7.5</v>
      </c>
      <c r="G4" s="3">
        <f t="shared" ref="G4:G7" si="1">F4-$B$9</f>
        <v>-4.5</v>
      </c>
      <c r="H4" s="3">
        <f t="shared" ref="H4:H7" si="2">G4^2</f>
        <v>20.25</v>
      </c>
    </row>
    <row r="5" spans="1:8">
      <c r="A5" s="2" t="s">
        <v>2</v>
      </c>
      <c r="B5" s="3">
        <v>2</v>
      </c>
      <c r="C5" s="3">
        <v>3</v>
      </c>
      <c r="D5" s="3">
        <v>3</v>
      </c>
      <c r="E5" s="3">
        <v>3.5</v>
      </c>
      <c r="F5" s="3">
        <f t="shared" si="0"/>
        <v>11.5</v>
      </c>
      <c r="G5" s="3">
        <f t="shared" si="1"/>
        <v>-0.5</v>
      </c>
      <c r="H5" s="3">
        <f t="shared" si="2"/>
        <v>0.25</v>
      </c>
    </row>
    <row r="6" spans="1:8">
      <c r="A6" s="2" t="s">
        <v>3</v>
      </c>
      <c r="B6" s="3">
        <v>4</v>
      </c>
      <c r="C6" s="3">
        <v>5</v>
      </c>
      <c r="D6" s="3">
        <v>4</v>
      </c>
      <c r="E6" s="3">
        <v>3.5</v>
      </c>
      <c r="F6" s="3">
        <f t="shared" si="0"/>
        <v>16.5</v>
      </c>
      <c r="G6" s="3">
        <f t="shared" si="1"/>
        <v>4.5</v>
      </c>
      <c r="H6" s="3">
        <f t="shared" si="2"/>
        <v>20.25</v>
      </c>
    </row>
    <row r="7" spans="1:8">
      <c r="A7" s="2" t="s">
        <v>4</v>
      </c>
      <c r="B7" s="3">
        <v>5</v>
      </c>
      <c r="C7" s="3">
        <v>4</v>
      </c>
      <c r="D7" s="3">
        <v>5</v>
      </c>
      <c r="E7" s="3">
        <v>5</v>
      </c>
      <c r="F7" s="3">
        <f t="shared" si="0"/>
        <v>19</v>
      </c>
      <c r="G7" s="3">
        <f t="shared" si="1"/>
        <v>7</v>
      </c>
      <c r="H7" s="3">
        <f t="shared" si="2"/>
        <v>49</v>
      </c>
    </row>
    <row r="8" spans="1:8">
      <c r="A8" s="2" t="s">
        <v>12</v>
      </c>
      <c r="B8" s="3">
        <f>SUM(B3:B7)</f>
        <v>15</v>
      </c>
      <c r="C8" s="3">
        <f t="shared" ref="C8:H8" si="3">SUM(C3:C7)</f>
        <v>15</v>
      </c>
      <c r="D8" s="3">
        <f t="shared" si="3"/>
        <v>15</v>
      </c>
      <c r="E8" s="3">
        <f t="shared" si="3"/>
        <v>15</v>
      </c>
      <c r="F8" s="3">
        <f t="shared" si="3"/>
        <v>60</v>
      </c>
      <c r="G8" s="3">
        <f t="shared" si="3"/>
        <v>0</v>
      </c>
      <c r="H8" s="3">
        <f t="shared" si="3"/>
        <v>132</v>
      </c>
    </row>
    <row r="9" spans="1:8" ht="32.25">
      <c r="A9" s="60" t="s">
        <v>13</v>
      </c>
      <c r="B9" s="61">
        <f>AVERAGE(F3:F7)</f>
        <v>12</v>
      </c>
      <c r="G9" s="39" t="s">
        <v>16</v>
      </c>
      <c r="H9" s="39">
        <f>(H8/5)^(1/2)</f>
        <v>5.1380930314660516</v>
      </c>
    </row>
    <row r="10" spans="1:8">
      <c r="A10" s="7" t="s">
        <v>14</v>
      </c>
    </row>
    <row r="11" spans="1:8" ht="19.5" thickBot="1">
      <c r="A11" s="5" t="s">
        <v>15</v>
      </c>
      <c r="F11" s="40">
        <f>12*H8/(4^2*(5^3-5))</f>
        <v>0.82499999999999996</v>
      </c>
    </row>
    <row r="12" spans="1:8" ht="32.25" thickBot="1">
      <c r="A12" s="65" t="s">
        <v>59</v>
      </c>
      <c r="B12" s="66">
        <f>H9/B9</f>
        <v>0.42817441928883765</v>
      </c>
      <c r="G12" s="67" t="s">
        <v>17</v>
      </c>
    </row>
    <row r="13" spans="1:8">
      <c r="G13" s="68">
        <f>ABS(F3-$B$9)</f>
        <v>6.5</v>
      </c>
    </row>
    <row r="14" spans="1:8">
      <c r="G14" s="68">
        <f t="shared" ref="G14:G17" si="4">ABS(F4-$B$9)</f>
        <v>4.5</v>
      </c>
    </row>
    <row r="15" spans="1:8">
      <c r="G15" s="68">
        <f t="shared" si="4"/>
        <v>0.5</v>
      </c>
    </row>
    <row r="16" spans="1:8">
      <c r="G16" s="68">
        <f t="shared" si="4"/>
        <v>4.5</v>
      </c>
    </row>
    <row r="17" spans="1:7">
      <c r="A17" s="62"/>
      <c r="G17" s="68">
        <f t="shared" si="4"/>
        <v>7</v>
      </c>
    </row>
    <row r="18" spans="1:7" ht="16.5" thickBot="1">
      <c r="F18" s="6" t="s">
        <v>18</v>
      </c>
      <c r="G18" s="69">
        <f>AVERAGE(G13:G17)</f>
        <v>4.5999999999999996</v>
      </c>
    </row>
  </sheetData>
  <mergeCells count="5">
    <mergeCell ref="A1:A2"/>
    <mergeCell ref="B1:E1"/>
    <mergeCell ref="F1:F2"/>
    <mergeCell ref="G1:G2"/>
    <mergeCell ref="H1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zoomScale="160" zoomScaleNormal="160" workbookViewId="0">
      <selection activeCell="E5" sqref="E5"/>
    </sheetView>
  </sheetViews>
  <sheetFormatPr defaultRowHeight="15"/>
  <cols>
    <col min="1" max="4" width="9.140625" style="32"/>
    <col min="5" max="5" width="11" style="32" customWidth="1"/>
    <col min="6" max="6" width="16.5703125" style="32" customWidth="1"/>
    <col min="7" max="7" width="22" style="32" customWidth="1"/>
    <col min="8" max="16384" width="9.140625" style="32"/>
  </cols>
  <sheetData>
    <row r="1" spans="1:7" ht="45.75" customHeight="1">
      <c r="A1" s="31" t="s">
        <v>33</v>
      </c>
      <c r="B1" s="31" t="s">
        <v>34</v>
      </c>
      <c r="C1" s="31" t="s">
        <v>35</v>
      </c>
      <c r="D1" s="31" t="s">
        <v>36</v>
      </c>
      <c r="E1" s="34" t="s">
        <v>37</v>
      </c>
      <c r="F1" s="41" t="s">
        <v>38</v>
      </c>
      <c r="G1" s="38" t="s">
        <v>40</v>
      </c>
    </row>
    <row r="2" spans="1:7" ht="20.25">
      <c r="A2" s="31" t="s">
        <v>34</v>
      </c>
      <c r="B2" s="58"/>
      <c r="C2" s="31">
        <v>1</v>
      </c>
      <c r="D2" s="31">
        <v>1</v>
      </c>
      <c r="E2" s="34">
        <v>1</v>
      </c>
      <c r="F2" s="36">
        <f>SUM(B2:E2)</f>
        <v>3</v>
      </c>
      <c r="G2" s="35">
        <f>F2/F$6</f>
        <v>0.5</v>
      </c>
    </row>
    <row r="3" spans="1:7" ht="20.25">
      <c r="A3" s="31" t="s">
        <v>35</v>
      </c>
      <c r="B3" s="31">
        <v>0</v>
      </c>
      <c r="C3" s="58"/>
      <c r="D3" s="31">
        <v>0</v>
      </c>
      <c r="E3" s="34">
        <v>0</v>
      </c>
      <c r="F3" s="36">
        <f t="shared" ref="F3:F5" si="0">SUM(B3:E3)</f>
        <v>0</v>
      </c>
      <c r="G3" s="35">
        <f t="shared" ref="G3:G5" si="1">F3/F$6</f>
        <v>0</v>
      </c>
    </row>
    <row r="4" spans="1:7" ht="20.25">
      <c r="A4" s="31" t="s">
        <v>36</v>
      </c>
      <c r="B4" s="31">
        <v>0</v>
      </c>
      <c r="C4" s="31">
        <v>1</v>
      </c>
      <c r="D4" s="58"/>
      <c r="E4" s="34">
        <v>1</v>
      </c>
      <c r="F4" s="36">
        <f t="shared" si="0"/>
        <v>2</v>
      </c>
      <c r="G4" s="35">
        <f t="shared" si="1"/>
        <v>0.33333333333333331</v>
      </c>
    </row>
    <row r="5" spans="1:7" ht="20.25">
      <c r="A5" s="31" t="s">
        <v>37</v>
      </c>
      <c r="B5" s="31">
        <v>0</v>
      </c>
      <c r="C5" s="31">
        <v>1</v>
      </c>
      <c r="D5" s="31">
        <v>0</v>
      </c>
      <c r="E5" s="59"/>
      <c r="F5" s="36">
        <f t="shared" si="0"/>
        <v>1</v>
      </c>
      <c r="G5" s="35">
        <f t="shared" si="1"/>
        <v>0.16666666666666666</v>
      </c>
    </row>
    <row r="6" spans="1:7" ht="18.75">
      <c r="A6" s="33"/>
      <c r="B6" s="33"/>
      <c r="C6" s="33"/>
      <c r="D6" s="33"/>
      <c r="E6" s="37" t="s">
        <v>39</v>
      </c>
      <c r="F6" s="37">
        <f>SUM(F2:F5)</f>
        <v>6</v>
      </c>
      <c r="G6" s="35"/>
    </row>
    <row r="7" spans="1:7">
      <c r="A7" s="33"/>
      <c r="B7" s="33"/>
      <c r="C7" s="33"/>
      <c r="D7" s="33"/>
      <c r="E7" s="33"/>
      <c r="F7" s="33"/>
    </row>
    <row r="8" spans="1:7">
      <c r="A8" s="33"/>
      <c r="B8" s="33"/>
      <c r="C8" s="33"/>
      <c r="D8" s="33"/>
      <c r="E8" s="33"/>
      <c r="F8" s="33"/>
    </row>
    <row r="9" spans="1:7">
      <c r="A9" s="33"/>
      <c r="B9" s="33"/>
      <c r="C9" s="33"/>
      <c r="D9" s="33"/>
      <c r="E9" s="33"/>
      <c r="F9" s="3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"/>
  <sheetViews>
    <sheetView zoomScale="90" zoomScaleNormal="90" workbookViewId="0">
      <selection activeCell="AJ26" sqref="AJ26"/>
    </sheetView>
  </sheetViews>
  <sheetFormatPr defaultRowHeight="18.75"/>
  <cols>
    <col min="1" max="1" width="12.85546875" style="30" customWidth="1"/>
    <col min="2" max="2" width="9.140625" style="30"/>
    <col min="3" max="3" width="3.5703125" style="30" bestFit="1" customWidth="1"/>
    <col min="4" max="4" width="5.5703125" style="30" bestFit="1" customWidth="1"/>
    <col min="5" max="6" width="3.5703125" style="30" bestFit="1" customWidth="1"/>
    <col min="7" max="7" width="6.7109375" style="30" customWidth="1"/>
    <col min="8" max="9" width="3.5703125" style="30" bestFit="1" customWidth="1"/>
    <col min="10" max="10" width="5.7109375" style="30" customWidth="1"/>
    <col min="11" max="11" width="9.140625" style="30"/>
    <col min="12" max="12" width="4.140625" style="30" bestFit="1" customWidth="1"/>
    <col min="13" max="17" width="2.7109375" style="30" bestFit="1" customWidth="1"/>
    <col min="18" max="18" width="2.85546875" style="30" customWidth="1"/>
    <col min="19" max="19" width="9.140625" style="30"/>
    <col min="20" max="25" width="2.7109375" style="30" bestFit="1" customWidth="1"/>
    <col min="26" max="16384" width="9.140625" style="30"/>
  </cols>
  <sheetData>
    <row r="1" spans="1:25" ht="19.5">
      <c r="B1" s="45" t="s">
        <v>46</v>
      </c>
      <c r="C1" s="45">
        <v>1</v>
      </c>
      <c r="D1" s="45">
        <v>2</v>
      </c>
      <c r="E1" s="45">
        <v>3</v>
      </c>
      <c r="F1" s="45">
        <v>4</v>
      </c>
      <c r="G1" s="45">
        <v>5</v>
      </c>
      <c r="H1" s="45">
        <v>6</v>
      </c>
      <c r="I1" s="45">
        <v>7</v>
      </c>
      <c r="K1" s="30" t="s">
        <v>48</v>
      </c>
      <c r="S1" s="30" t="s">
        <v>50</v>
      </c>
    </row>
    <row r="2" spans="1:25">
      <c r="B2" s="46" t="s">
        <v>41</v>
      </c>
      <c r="C2" s="35">
        <v>5</v>
      </c>
      <c r="D2" s="35">
        <v>3</v>
      </c>
      <c r="E2" s="35">
        <v>2</v>
      </c>
      <c r="F2" s="35">
        <v>1</v>
      </c>
      <c r="G2" s="35">
        <v>6</v>
      </c>
      <c r="H2" s="35">
        <v>4</v>
      </c>
      <c r="I2" s="35">
        <v>7</v>
      </c>
      <c r="K2" s="35">
        <f>IF(C2=$B$9,C$1,0)</f>
        <v>0</v>
      </c>
      <c r="L2" s="35">
        <f t="shared" ref="L2:Q2" si="0">IF(D2=$B$9,D$1,0)</f>
        <v>0</v>
      </c>
      <c r="M2" s="35">
        <f t="shared" si="0"/>
        <v>0</v>
      </c>
      <c r="N2" s="35">
        <f t="shared" si="0"/>
        <v>4</v>
      </c>
      <c r="O2" s="35">
        <f t="shared" si="0"/>
        <v>0</v>
      </c>
      <c r="P2" s="35">
        <f t="shared" si="0"/>
        <v>0</v>
      </c>
      <c r="Q2" s="35">
        <f t="shared" si="0"/>
        <v>0</v>
      </c>
      <c r="S2" s="35">
        <f>IF(C2=$B$10,C$1,0)</f>
        <v>0</v>
      </c>
      <c r="T2" s="35">
        <f t="shared" ref="T2:Y2" si="1">IF(D2=$B$10,D$1,0)</f>
        <v>0</v>
      </c>
      <c r="U2" s="35">
        <f t="shared" si="1"/>
        <v>3</v>
      </c>
      <c r="V2" s="35">
        <f t="shared" si="1"/>
        <v>0</v>
      </c>
      <c r="W2" s="35">
        <f t="shared" si="1"/>
        <v>0</v>
      </c>
      <c r="X2" s="35">
        <f t="shared" si="1"/>
        <v>0</v>
      </c>
      <c r="Y2" s="35">
        <f t="shared" si="1"/>
        <v>0</v>
      </c>
    </row>
    <row r="3" spans="1:25">
      <c r="B3" s="46" t="s">
        <v>42</v>
      </c>
      <c r="C3" s="35">
        <v>5</v>
      </c>
      <c r="D3" s="35">
        <v>3</v>
      </c>
      <c r="E3" s="35">
        <v>2</v>
      </c>
      <c r="F3" s="35">
        <v>6</v>
      </c>
      <c r="G3" s="35">
        <v>4</v>
      </c>
      <c r="H3" s="35">
        <v>1</v>
      </c>
      <c r="I3" s="35">
        <v>7</v>
      </c>
      <c r="K3" s="35">
        <f>IF(C3=$B$9,C$1,0)</f>
        <v>0</v>
      </c>
      <c r="L3" s="35">
        <f t="shared" ref="L3:Q6" si="2">IF(D3=$B$9,D$1,0)</f>
        <v>0</v>
      </c>
      <c r="M3" s="35">
        <f t="shared" si="2"/>
        <v>0</v>
      </c>
      <c r="N3" s="35">
        <f t="shared" si="2"/>
        <v>0</v>
      </c>
      <c r="O3" s="35">
        <f t="shared" si="2"/>
        <v>0</v>
      </c>
      <c r="P3" s="35">
        <f t="shared" si="2"/>
        <v>6</v>
      </c>
      <c r="Q3" s="35">
        <f t="shared" si="2"/>
        <v>0</v>
      </c>
      <c r="S3" s="35">
        <f>IF(C3=$B$10,C$1,0)</f>
        <v>0</v>
      </c>
      <c r="T3" s="35">
        <f t="shared" ref="T3:Y6" si="3">IF(D3=$B$10,D$1,0)</f>
        <v>0</v>
      </c>
      <c r="U3" s="35">
        <f t="shared" si="3"/>
        <v>3</v>
      </c>
      <c r="V3" s="35">
        <f t="shared" si="3"/>
        <v>0</v>
      </c>
      <c r="W3" s="35">
        <f t="shared" si="3"/>
        <v>0</v>
      </c>
      <c r="X3" s="35">
        <f t="shared" si="3"/>
        <v>0</v>
      </c>
      <c r="Y3" s="35">
        <f t="shared" si="3"/>
        <v>0</v>
      </c>
    </row>
    <row r="4" spans="1:25">
      <c r="B4" s="46" t="s">
        <v>43</v>
      </c>
      <c r="C4" s="35">
        <v>3</v>
      </c>
      <c r="D4" s="35">
        <v>2</v>
      </c>
      <c r="E4" s="35">
        <v>5</v>
      </c>
      <c r="F4" s="35">
        <v>1</v>
      </c>
      <c r="G4" s="35">
        <v>6</v>
      </c>
      <c r="H4" s="35">
        <v>4</v>
      </c>
      <c r="I4" s="35">
        <v>7</v>
      </c>
      <c r="K4" s="35">
        <f>IF(C4=$B$9,C$1,0)</f>
        <v>0</v>
      </c>
      <c r="L4" s="35">
        <f t="shared" si="2"/>
        <v>0</v>
      </c>
      <c r="M4" s="35">
        <f t="shared" si="2"/>
        <v>0</v>
      </c>
      <c r="N4" s="35">
        <f t="shared" si="2"/>
        <v>4</v>
      </c>
      <c r="O4" s="35">
        <f t="shared" si="2"/>
        <v>0</v>
      </c>
      <c r="P4" s="35">
        <f t="shared" si="2"/>
        <v>0</v>
      </c>
      <c r="Q4" s="35">
        <f t="shared" si="2"/>
        <v>0</v>
      </c>
      <c r="S4" s="35">
        <f>IF(C4=$B$10,C$1,0)</f>
        <v>0</v>
      </c>
      <c r="T4" s="35">
        <f t="shared" si="3"/>
        <v>2</v>
      </c>
      <c r="U4" s="35">
        <f t="shared" si="3"/>
        <v>0</v>
      </c>
      <c r="V4" s="35">
        <f t="shared" si="3"/>
        <v>0</v>
      </c>
      <c r="W4" s="35">
        <f t="shared" si="3"/>
        <v>0</v>
      </c>
      <c r="X4" s="35">
        <f t="shared" si="3"/>
        <v>0</v>
      </c>
      <c r="Y4" s="35">
        <f t="shared" si="3"/>
        <v>0</v>
      </c>
    </row>
    <row r="5" spans="1:25">
      <c r="B5" s="46" t="s">
        <v>44</v>
      </c>
      <c r="C5" s="35">
        <v>5</v>
      </c>
      <c r="D5" s="35">
        <v>3</v>
      </c>
      <c r="E5" s="35">
        <v>2</v>
      </c>
      <c r="F5" s="35">
        <v>1</v>
      </c>
      <c r="G5" s="35">
        <v>4</v>
      </c>
      <c r="H5" s="35">
        <v>6</v>
      </c>
      <c r="I5" s="35">
        <v>7</v>
      </c>
      <c r="K5" s="35">
        <f>IF(C5=$B$9,C$1,0)</f>
        <v>0</v>
      </c>
      <c r="L5" s="35">
        <f t="shared" si="2"/>
        <v>0</v>
      </c>
      <c r="M5" s="35">
        <f t="shared" si="2"/>
        <v>0</v>
      </c>
      <c r="N5" s="35">
        <f t="shared" si="2"/>
        <v>4</v>
      </c>
      <c r="O5" s="35">
        <f t="shared" si="2"/>
        <v>0</v>
      </c>
      <c r="P5" s="35">
        <f t="shared" si="2"/>
        <v>0</v>
      </c>
      <c r="Q5" s="35">
        <f t="shared" si="2"/>
        <v>0</v>
      </c>
      <c r="S5" s="35">
        <f>IF(C5=$B$10,C$1,0)</f>
        <v>0</v>
      </c>
      <c r="T5" s="35">
        <f t="shared" si="3"/>
        <v>0</v>
      </c>
      <c r="U5" s="35">
        <f t="shared" si="3"/>
        <v>3</v>
      </c>
      <c r="V5" s="35">
        <f t="shared" si="3"/>
        <v>0</v>
      </c>
      <c r="W5" s="35">
        <f t="shared" si="3"/>
        <v>0</v>
      </c>
      <c r="X5" s="35">
        <f t="shared" si="3"/>
        <v>0</v>
      </c>
      <c r="Y5" s="35">
        <f t="shared" si="3"/>
        <v>0</v>
      </c>
    </row>
    <row r="6" spans="1:25">
      <c r="B6" s="46" t="s">
        <v>45</v>
      </c>
      <c r="C6" s="35">
        <v>5</v>
      </c>
      <c r="D6" s="35">
        <v>3</v>
      </c>
      <c r="E6" s="35">
        <v>1</v>
      </c>
      <c r="F6" s="35">
        <v>2</v>
      </c>
      <c r="G6" s="35">
        <v>6</v>
      </c>
      <c r="H6" s="35">
        <v>4</v>
      </c>
      <c r="I6" s="35">
        <v>7</v>
      </c>
      <c r="K6" s="35">
        <f>IF(C6=$B$9,C$1,0)</f>
        <v>0</v>
      </c>
      <c r="L6" s="35">
        <f t="shared" si="2"/>
        <v>0</v>
      </c>
      <c r="M6" s="35">
        <f t="shared" si="2"/>
        <v>3</v>
      </c>
      <c r="N6" s="35">
        <f t="shared" si="2"/>
        <v>0</v>
      </c>
      <c r="O6" s="35">
        <f t="shared" si="2"/>
        <v>0</v>
      </c>
      <c r="P6" s="35">
        <f t="shared" si="2"/>
        <v>0</v>
      </c>
      <c r="Q6" s="35">
        <f t="shared" si="2"/>
        <v>0</v>
      </c>
      <c r="S6" s="35">
        <f>IF(C6=$B$10,C$1,0)</f>
        <v>0</v>
      </c>
      <c r="T6" s="35">
        <f t="shared" si="3"/>
        <v>0</v>
      </c>
      <c r="U6" s="35">
        <f t="shared" si="3"/>
        <v>0</v>
      </c>
      <c r="V6" s="35">
        <f t="shared" si="3"/>
        <v>4</v>
      </c>
      <c r="W6" s="35">
        <f t="shared" si="3"/>
        <v>0</v>
      </c>
      <c r="X6" s="35">
        <f t="shared" si="3"/>
        <v>0</v>
      </c>
      <c r="Y6" s="35">
        <f t="shared" si="3"/>
        <v>0</v>
      </c>
    </row>
    <row r="7" spans="1:25">
      <c r="B7" s="42"/>
      <c r="E7" s="53"/>
      <c r="K7" s="44"/>
    </row>
    <row r="8" spans="1:25" ht="20.25" thickBot="1">
      <c r="B8" s="42"/>
      <c r="C8" s="30" t="s">
        <v>57</v>
      </c>
      <c r="E8" s="53"/>
      <c r="F8" s="43" t="s">
        <v>58</v>
      </c>
      <c r="G8" s="43"/>
      <c r="H8" s="43"/>
      <c r="I8" s="43"/>
      <c r="J8" s="43"/>
      <c r="K8" s="44"/>
    </row>
    <row r="9" spans="1:25" ht="20.25" thickBot="1">
      <c r="A9" s="47" t="s">
        <v>47</v>
      </c>
      <c r="B9" s="48">
        <v>1</v>
      </c>
      <c r="C9" s="49" t="s">
        <v>49</v>
      </c>
      <c r="D9" s="57">
        <f>SUM(K2:Q6)</f>
        <v>21</v>
      </c>
      <c r="G9" s="54">
        <f t="shared" ref="G9:G15" si="4">D9/D$17</f>
        <v>0.15</v>
      </c>
      <c r="K9" s="30" t="s">
        <v>51</v>
      </c>
      <c r="S9" s="30" t="s">
        <v>52</v>
      </c>
    </row>
    <row r="10" spans="1:25" ht="20.25" thickBot="1">
      <c r="A10" s="47" t="s">
        <v>47</v>
      </c>
      <c r="B10" s="48">
        <v>2</v>
      </c>
      <c r="C10" s="49" t="s">
        <v>49</v>
      </c>
      <c r="D10" s="57">
        <f>SUM(S2:Y6)</f>
        <v>15</v>
      </c>
      <c r="G10" s="55">
        <f t="shared" si="4"/>
        <v>0.10714285714285714</v>
      </c>
      <c r="K10" s="35">
        <f>IF(C2=$B$11,C$1,0)</f>
        <v>0</v>
      </c>
      <c r="L10" s="35">
        <f t="shared" ref="L10:Q10" si="5">IF(D2=$B$11,D$1,0)</f>
        <v>2</v>
      </c>
      <c r="M10" s="35">
        <f t="shared" si="5"/>
        <v>0</v>
      </c>
      <c r="N10" s="35">
        <f t="shared" si="5"/>
        <v>0</v>
      </c>
      <c r="O10" s="35">
        <f t="shared" si="5"/>
        <v>0</v>
      </c>
      <c r="P10" s="35">
        <f t="shared" si="5"/>
        <v>0</v>
      </c>
      <c r="Q10" s="35">
        <f t="shared" si="5"/>
        <v>0</v>
      </c>
      <c r="S10" s="35">
        <f>IF(C2=$B$12,C$1,0)</f>
        <v>0</v>
      </c>
      <c r="T10" s="35">
        <f t="shared" ref="T10:Y10" si="6">IF(D2=$B$12,D$1,0)</f>
        <v>0</v>
      </c>
      <c r="U10" s="35">
        <f t="shared" si="6"/>
        <v>0</v>
      </c>
      <c r="V10" s="35">
        <f t="shared" si="6"/>
        <v>0</v>
      </c>
      <c r="W10" s="35">
        <f t="shared" si="6"/>
        <v>0</v>
      </c>
      <c r="X10" s="35">
        <f t="shared" si="6"/>
        <v>6</v>
      </c>
      <c r="Y10" s="35">
        <f t="shared" si="6"/>
        <v>0</v>
      </c>
    </row>
    <row r="11" spans="1:25" ht="20.25" thickBot="1">
      <c r="A11" s="47" t="s">
        <v>47</v>
      </c>
      <c r="B11" s="48">
        <v>3</v>
      </c>
      <c r="C11" s="49" t="s">
        <v>49</v>
      </c>
      <c r="D11" s="57">
        <f>SUM(K10:Q14)</f>
        <v>9</v>
      </c>
      <c r="G11" s="55">
        <f t="shared" si="4"/>
        <v>6.4285714285714279E-2</v>
      </c>
      <c r="K11" s="35">
        <f>IF(C3=$B$11,C$1,0)</f>
        <v>0</v>
      </c>
      <c r="L11" s="35">
        <f t="shared" ref="L11:Q14" si="7">IF(D3=$B$11,D$1,0)</f>
        <v>2</v>
      </c>
      <c r="M11" s="35">
        <f t="shared" si="7"/>
        <v>0</v>
      </c>
      <c r="N11" s="35">
        <f t="shared" si="7"/>
        <v>0</v>
      </c>
      <c r="O11" s="35">
        <f t="shared" si="7"/>
        <v>0</v>
      </c>
      <c r="P11" s="35">
        <f t="shared" si="7"/>
        <v>0</v>
      </c>
      <c r="Q11" s="35">
        <f t="shared" si="7"/>
        <v>0</v>
      </c>
      <c r="S11" s="35">
        <f>IF(C3=$B$12,C$1,0)</f>
        <v>0</v>
      </c>
      <c r="T11" s="35">
        <f t="shared" ref="T11:Y14" si="8">IF(D3=$B$12,D$1,0)</f>
        <v>0</v>
      </c>
      <c r="U11" s="35">
        <f t="shared" si="8"/>
        <v>0</v>
      </c>
      <c r="V11" s="35">
        <f t="shared" si="8"/>
        <v>0</v>
      </c>
      <c r="W11" s="35">
        <f t="shared" si="8"/>
        <v>5</v>
      </c>
      <c r="X11" s="35">
        <f t="shared" si="8"/>
        <v>0</v>
      </c>
      <c r="Y11" s="35">
        <f t="shared" si="8"/>
        <v>0</v>
      </c>
    </row>
    <row r="12" spans="1:25" ht="20.25" thickBot="1">
      <c r="A12" s="47" t="s">
        <v>47</v>
      </c>
      <c r="B12" s="48">
        <v>4</v>
      </c>
      <c r="C12" s="49" t="s">
        <v>49</v>
      </c>
      <c r="D12" s="57">
        <f>SUM(S10:Y14)</f>
        <v>28</v>
      </c>
      <c r="G12" s="55">
        <f t="shared" si="4"/>
        <v>0.2</v>
      </c>
      <c r="K12" s="35">
        <f>IF(C4=$B$11,C$1,0)</f>
        <v>1</v>
      </c>
      <c r="L12" s="35">
        <f t="shared" si="7"/>
        <v>0</v>
      </c>
      <c r="M12" s="35">
        <f t="shared" si="7"/>
        <v>0</v>
      </c>
      <c r="N12" s="35">
        <f t="shared" si="7"/>
        <v>0</v>
      </c>
      <c r="O12" s="35">
        <f t="shared" si="7"/>
        <v>0</v>
      </c>
      <c r="P12" s="35">
        <f t="shared" si="7"/>
        <v>0</v>
      </c>
      <c r="Q12" s="35">
        <f t="shared" si="7"/>
        <v>0</v>
      </c>
      <c r="S12" s="35">
        <f>IF(C4=$B$12,C$1,0)</f>
        <v>0</v>
      </c>
      <c r="T12" s="35">
        <f t="shared" si="8"/>
        <v>0</v>
      </c>
      <c r="U12" s="35">
        <f t="shared" si="8"/>
        <v>0</v>
      </c>
      <c r="V12" s="35">
        <f t="shared" si="8"/>
        <v>0</v>
      </c>
      <c r="W12" s="35">
        <f t="shared" si="8"/>
        <v>0</v>
      </c>
      <c r="X12" s="35">
        <f t="shared" si="8"/>
        <v>6</v>
      </c>
      <c r="Y12" s="35">
        <f t="shared" si="8"/>
        <v>0</v>
      </c>
    </row>
    <row r="13" spans="1:25" ht="20.25" thickBot="1">
      <c r="A13" s="47" t="s">
        <v>47</v>
      </c>
      <c r="B13" s="48">
        <v>5</v>
      </c>
      <c r="C13" s="49" t="s">
        <v>49</v>
      </c>
      <c r="D13" s="57">
        <f>SUM(K17:Q21)</f>
        <v>7</v>
      </c>
      <c r="G13" s="55">
        <f t="shared" si="4"/>
        <v>0.05</v>
      </c>
      <c r="K13" s="35">
        <f>IF(C5=$B$11,C$1,0)</f>
        <v>0</v>
      </c>
      <c r="L13" s="35">
        <f t="shared" si="7"/>
        <v>2</v>
      </c>
      <c r="M13" s="35">
        <f t="shared" si="7"/>
        <v>0</v>
      </c>
      <c r="N13" s="35">
        <f t="shared" si="7"/>
        <v>0</v>
      </c>
      <c r="O13" s="35">
        <f t="shared" si="7"/>
        <v>0</v>
      </c>
      <c r="P13" s="35">
        <f t="shared" si="7"/>
        <v>0</v>
      </c>
      <c r="Q13" s="35">
        <f t="shared" si="7"/>
        <v>0</v>
      </c>
      <c r="S13" s="35">
        <f>IF(C5=$B$12,C$1,0)</f>
        <v>0</v>
      </c>
      <c r="T13" s="35">
        <f t="shared" si="8"/>
        <v>0</v>
      </c>
      <c r="U13" s="35">
        <f t="shared" si="8"/>
        <v>0</v>
      </c>
      <c r="V13" s="35">
        <f t="shared" si="8"/>
        <v>0</v>
      </c>
      <c r="W13" s="35">
        <f t="shared" si="8"/>
        <v>5</v>
      </c>
      <c r="X13" s="35">
        <f t="shared" si="8"/>
        <v>0</v>
      </c>
      <c r="Y13" s="35">
        <f t="shared" si="8"/>
        <v>0</v>
      </c>
    </row>
    <row r="14" spans="1:25" ht="20.25" thickBot="1">
      <c r="A14" s="47" t="s">
        <v>47</v>
      </c>
      <c r="B14" s="48">
        <v>6</v>
      </c>
      <c r="C14" s="49" t="s">
        <v>49</v>
      </c>
      <c r="D14" s="57">
        <f>SUM(S17:Y21)</f>
        <v>25</v>
      </c>
      <c r="G14" s="55">
        <f t="shared" si="4"/>
        <v>0.17857142857142858</v>
      </c>
      <c r="K14" s="35">
        <f>IF(C6=$B$11,C$1,0)</f>
        <v>0</v>
      </c>
      <c r="L14" s="35">
        <f t="shared" si="7"/>
        <v>2</v>
      </c>
      <c r="M14" s="35">
        <f t="shared" si="7"/>
        <v>0</v>
      </c>
      <c r="N14" s="35">
        <f t="shared" si="7"/>
        <v>0</v>
      </c>
      <c r="O14" s="35">
        <f t="shared" si="7"/>
        <v>0</v>
      </c>
      <c r="P14" s="35">
        <f t="shared" si="7"/>
        <v>0</v>
      </c>
      <c r="Q14" s="35">
        <f t="shared" si="7"/>
        <v>0</v>
      </c>
      <c r="S14" s="35">
        <f>IF(C6=$B$12,C$1,0)</f>
        <v>0</v>
      </c>
      <c r="T14" s="35">
        <f t="shared" si="8"/>
        <v>0</v>
      </c>
      <c r="U14" s="35">
        <f t="shared" si="8"/>
        <v>0</v>
      </c>
      <c r="V14" s="35">
        <f t="shared" si="8"/>
        <v>0</v>
      </c>
      <c r="W14" s="35">
        <f t="shared" si="8"/>
        <v>0</v>
      </c>
      <c r="X14" s="35">
        <f t="shared" si="8"/>
        <v>6</v>
      </c>
      <c r="Y14" s="35">
        <f t="shared" si="8"/>
        <v>0</v>
      </c>
    </row>
    <row r="15" spans="1:25" ht="20.25" thickBot="1">
      <c r="A15" s="47" t="s">
        <v>47</v>
      </c>
      <c r="B15" s="48">
        <v>7</v>
      </c>
      <c r="C15" s="49" t="s">
        <v>49</v>
      </c>
      <c r="D15" s="57">
        <f>SUM(K24:Q28)</f>
        <v>35</v>
      </c>
      <c r="G15" s="56">
        <f t="shared" si="4"/>
        <v>0.25</v>
      </c>
    </row>
    <row r="16" spans="1:25" ht="19.5" thickBot="1">
      <c r="K16" s="30" t="s">
        <v>53</v>
      </c>
      <c r="S16" s="30" t="s">
        <v>54</v>
      </c>
    </row>
    <row r="17" spans="1:25" ht="19.5" thickBot="1">
      <c r="A17" s="50" t="s">
        <v>56</v>
      </c>
      <c r="B17" s="51"/>
      <c r="C17" s="51"/>
      <c r="D17" s="52">
        <f>SUM(D9:D15)</f>
        <v>140</v>
      </c>
      <c r="K17" s="35">
        <f>IF(C2=$B$13,C$1,0)</f>
        <v>1</v>
      </c>
      <c r="L17" s="35">
        <f t="shared" ref="L17:Q17" si="9">IF(D2=$B$13,D$1,0)</f>
        <v>0</v>
      </c>
      <c r="M17" s="35">
        <f t="shared" si="9"/>
        <v>0</v>
      </c>
      <c r="N17" s="35">
        <f t="shared" si="9"/>
        <v>0</v>
      </c>
      <c r="O17" s="35">
        <f t="shared" si="9"/>
        <v>0</v>
      </c>
      <c r="P17" s="35">
        <f t="shared" si="9"/>
        <v>0</v>
      </c>
      <c r="Q17" s="35">
        <f t="shared" si="9"/>
        <v>0</v>
      </c>
      <c r="S17" s="35">
        <f>IF(C2=$B$14,C$1,0)</f>
        <v>0</v>
      </c>
      <c r="T17" s="35">
        <f t="shared" ref="T17:Y17" si="10">IF(D2=$B$14,D$1,0)</f>
        <v>0</v>
      </c>
      <c r="U17" s="35">
        <f t="shared" si="10"/>
        <v>0</v>
      </c>
      <c r="V17" s="35">
        <f t="shared" si="10"/>
        <v>0</v>
      </c>
      <c r="W17" s="35">
        <f t="shared" si="10"/>
        <v>5</v>
      </c>
      <c r="X17" s="35">
        <f t="shared" si="10"/>
        <v>0</v>
      </c>
      <c r="Y17" s="35">
        <f t="shared" si="10"/>
        <v>0</v>
      </c>
    </row>
    <row r="18" spans="1:25">
      <c r="K18" s="35">
        <f>IF(C3=$B$13,C$1,0)</f>
        <v>1</v>
      </c>
      <c r="L18" s="35">
        <f t="shared" ref="L18:Q21" si="11">IF(D3=$B$13,D$1,0)</f>
        <v>0</v>
      </c>
      <c r="M18" s="35">
        <f t="shared" si="11"/>
        <v>0</v>
      </c>
      <c r="N18" s="35">
        <f t="shared" si="11"/>
        <v>0</v>
      </c>
      <c r="O18" s="35">
        <f t="shared" si="11"/>
        <v>0</v>
      </c>
      <c r="P18" s="35">
        <f t="shared" si="11"/>
        <v>0</v>
      </c>
      <c r="Q18" s="35">
        <f t="shared" si="11"/>
        <v>0</v>
      </c>
      <c r="S18" s="35">
        <f>IF(C3=$B$14,C$1,0)</f>
        <v>0</v>
      </c>
      <c r="T18" s="35">
        <f t="shared" ref="T18:Y21" si="12">IF(D3=$B$14,D$1,0)</f>
        <v>0</v>
      </c>
      <c r="U18" s="35">
        <f t="shared" si="12"/>
        <v>0</v>
      </c>
      <c r="V18" s="35">
        <f t="shared" si="12"/>
        <v>4</v>
      </c>
      <c r="W18" s="35">
        <f t="shared" si="12"/>
        <v>0</v>
      </c>
      <c r="X18" s="35">
        <f t="shared" si="12"/>
        <v>0</v>
      </c>
      <c r="Y18" s="35">
        <f t="shared" si="12"/>
        <v>0</v>
      </c>
    </row>
    <row r="19" spans="1:25">
      <c r="K19" s="35">
        <f>IF(C4=$B$13,C$1,0)</f>
        <v>0</v>
      </c>
      <c r="L19" s="35">
        <f t="shared" si="11"/>
        <v>0</v>
      </c>
      <c r="M19" s="35">
        <f t="shared" si="11"/>
        <v>3</v>
      </c>
      <c r="N19" s="35">
        <f t="shared" si="11"/>
        <v>0</v>
      </c>
      <c r="O19" s="35">
        <f t="shared" si="11"/>
        <v>0</v>
      </c>
      <c r="P19" s="35">
        <f t="shared" si="11"/>
        <v>0</v>
      </c>
      <c r="Q19" s="35">
        <f t="shared" si="11"/>
        <v>0</v>
      </c>
      <c r="S19" s="35">
        <f>IF(C4=$B$14,C$1,0)</f>
        <v>0</v>
      </c>
      <c r="T19" s="35">
        <f t="shared" si="12"/>
        <v>0</v>
      </c>
      <c r="U19" s="35">
        <f t="shared" si="12"/>
        <v>0</v>
      </c>
      <c r="V19" s="35">
        <f t="shared" si="12"/>
        <v>0</v>
      </c>
      <c r="W19" s="35">
        <f t="shared" si="12"/>
        <v>5</v>
      </c>
      <c r="X19" s="35">
        <f t="shared" si="12"/>
        <v>0</v>
      </c>
      <c r="Y19" s="35">
        <f t="shared" si="12"/>
        <v>0</v>
      </c>
    </row>
    <row r="20" spans="1:25">
      <c r="K20" s="35">
        <f>IF(C5=$B$13,C$1,0)</f>
        <v>1</v>
      </c>
      <c r="L20" s="35">
        <f t="shared" si="11"/>
        <v>0</v>
      </c>
      <c r="M20" s="35">
        <f t="shared" si="11"/>
        <v>0</v>
      </c>
      <c r="N20" s="35">
        <f t="shared" si="11"/>
        <v>0</v>
      </c>
      <c r="O20" s="35">
        <f t="shared" si="11"/>
        <v>0</v>
      </c>
      <c r="P20" s="35">
        <f t="shared" si="11"/>
        <v>0</v>
      </c>
      <c r="Q20" s="35">
        <f t="shared" si="11"/>
        <v>0</v>
      </c>
      <c r="S20" s="35">
        <f>IF(C5=$B$14,C$1,0)</f>
        <v>0</v>
      </c>
      <c r="T20" s="35">
        <f t="shared" si="12"/>
        <v>0</v>
      </c>
      <c r="U20" s="35">
        <f t="shared" si="12"/>
        <v>0</v>
      </c>
      <c r="V20" s="35">
        <f t="shared" si="12"/>
        <v>0</v>
      </c>
      <c r="W20" s="35">
        <f t="shared" si="12"/>
        <v>0</v>
      </c>
      <c r="X20" s="35">
        <f t="shared" si="12"/>
        <v>6</v>
      </c>
      <c r="Y20" s="35">
        <f t="shared" si="12"/>
        <v>0</v>
      </c>
    </row>
    <row r="21" spans="1:25">
      <c r="K21" s="35">
        <f>IF(C6=$B$13,C$1,0)</f>
        <v>1</v>
      </c>
      <c r="L21" s="35">
        <f t="shared" si="11"/>
        <v>0</v>
      </c>
      <c r="M21" s="35">
        <f t="shared" si="11"/>
        <v>0</v>
      </c>
      <c r="N21" s="35">
        <f t="shared" si="11"/>
        <v>0</v>
      </c>
      <c r="O21" s="35">
        <f t="shared" si="11"/>
        <v>0</v>
      </c>
      <c r="P21" s="35">
        <f t="shared" si="11"/>
        <v>0</v>
      </c>
      <c r="Q21" s="35">
        <f t="shared" si="11"/>
        <v>0</v>
      </c>
      <c r="S21" s="35">
        <f>IF(C6=$B$14,C$1,0)</f>
        <v>0</v>
      </c>
      <c r="T21" s="35">
        <f t="shared" si="12"/>
        <v>0</v>
      </c>
      <c r="U21" s="35">
        <f t="shared" si="12"/>
        <v>0</v>
      </c>
      <c r="V21" s="35">
        <f t="shared" si="12"/>
        <v>0</v>
      </c>
      <c r="W21" s="35">
        <f t="shared" si="12"/>
        <v>5</v>
      </c>
      <c r="X21" s="35">
        <f t="shared" si="12"/>
        <v>0</v>
      </c>
      <c r="Y21" s="35">
        <f t="shared" si="12"/>
        <v>0</v>
      </c>
    </row>
    <row r="23" spans="1:25">
      <c r="K23" s="30" t="s">
        <v>55</v>
      </c>
    </row>
    <row r="24" spans="1:25">
      <c r="K24" s="35">
        <f>IF(C2=$B$15,C$1,0)</f>
        <v>0</v>
      </c>
      <c r="L24" s="35">
        <f t="shared" ref="L24:Q24" si="13">IF(D2=$B$15,D$1,0)</f>
        <v>0</v>
      </c>
      <c r="M24" s="35">
        <f t="shared" si="13"/>
        <v>0</v>
      </c>
      <c r="N24" s="35">
        <f t="shared" si="13"/>
        <v>0</v>
      </c>
      <c r="O24" s="35">
        <f t="shared" si="13"/>
        <v>0</v>
      </c>
      <c r="P24" s="35">
        <f t="shared" si="13"/>
        <v>0</v>
      </c>
      <c r="Q24" s="35">
        <f t="shared" si="13"/>
        <v>7</v>
      </c>
    </row>
    <row r="25" spans="1:25">
      <c r="K25" s="35">
        <f>IF(C3=$B$15,C$1,0)</f>
        <v>0</v>
      </c>
      <c r="L25" s="35">
        <f t="shared" ref="L25:Q28" si="14">IF(D3=$B$15,D$1,0)</f>
        <v>0</v>
      </c>
      <c r="M25" s="35">
        <f t="shared" si="14"/>
        <v>0</v>
      </c>
      <c r="N25" s="35">
        <f t="shared" si="14"/>
        <v>0</v>
      </c>
      <c r="O25" s="35">
        <f t="shared" si="14"/>
        <v>0</v>
      </c>
      <c r="P25" s="35">
        <f t="shared" si="14"/>
        <v>0</v>
      </c>
      <c r="Q25" s="35">
        <f t="shared" si="14"/>
        <v>7</v>
      </c>
    </row>
    <row r="26" spans="1:25">
      <c r="K26" s="35">
        <f>IF(C4=$B$15,C$1,0)</f>
        <v>0</v>
      </c>
      <c r="L26" s="35">
        <f t="shared" si="14"/>
        <v>0</v>
      </c>
      <c r="M26" s="35">
        <f t="shared" si="14"/>
        <v>0</v>
      </c>
      <c r="N26" s="35">
        <f t="shared" si="14"/>
        <v>0</v>
      </c>
      <c r="O26" s="35">
        <f t="shared" si="14"/>
        <v>0</v>
      </c>
      <c r="P26" s="35">
        <f t="shared" si="14"/>
        <v>0</v>
      </c>
      <c r="Q26" s="35">
        <f t="shared" si="14"/>
        <v>7</v>
      </c>
    </row>
    <row r="27" spans="1:25">
      <c r="K27" s="35">
        <f>IF(C5=$B$15,C$1,0)</f>
        <v>0</v>
      </c>
      <c r="L27" s="35">
        <f t="shared" si="14"/>
        <v>0</v>
      </c>
      <c r="M27" s="35">
        <f t="shared" si="14"/>
        <v>0</v>
      </c>
      <c r="N27" s="35">
        <f t="shared" si="14"/>
        <v>0</v>
      </c>
      <c r="O27" s="35">
        <f t="shared" si="14"/>
        <v>0</v>
      </c>
      <c r="P27" s="35">
        <f t="shared" si="14"/>
        <v>0</v>
      </c>
      <c r="Q27" s="35">
        <f t="shared" si="14"/>
        <v>7</v>
      </c>
    </row>
    <row r="28" spans="1:25">
      <c r="K28" s="35">
        <f>IF(C6=$B$15,C$1,0)</f>
        <v>0</v>
      </c>
      <c r="L28" s="35">
        <f t="shared" si="14"/>
        <v>0</v>
      </c>
      <c r="M28" s="35">
        <f t="shared" si="14"/>
        <v>0</v>
      </c>
      <c r="N28" s="35">
        <f t="shared" si="14"/>
        <v>0</v>
      </c>
      <c r="O28" s="35">
        <f t="shared" si="14"/>
        <v>0</v>
      </c>
      <c r="P28" s="35">
        <f t="shared" si="14"/>
        <v>0</v>
      </c>
      <c r="Q28" s="35">
        <f t="shared" si="14"/>
        <v>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opLeftCell="A10" workbookViewId="0">
      <selection activeCell="H26" sqref="H26"/>
    </sheetView>
  </sheetViews>
  <sheetFormatPr defaultRowHeight="15"/>
  <cols>
    <col min="1" max="1" width="29.140625" customWidth="1"/>
    <col min="2" max="2" width="18.140625" customWidth="1"/>
    <col min="6" max="6" width="4.7109375" customWidth="1"/>
    <col min="7" max="7" width="22.28515625" customWidth="1"/>
  </cols>
  <sheetData>
    <row r="1" spans="1:8" ht="19.5" thickBot="1">
      <c r="A1" s="146" t="s">
        <v>65</v>
      </c>
      <c r="B1" s="148" t="s">
        <v>66</v>
      </c>
      <c r="C1" s="149"/>
      <c r="D1" s="149"/>
      <c r="E1" s="150"/>
      <c r="F1" s="86"/>
    </row>
    <row r="2" spans="1:8" ht="57" thickBot="1">
      <c r="A2" s="147"/>
      <c r="B2" s="71" t="s">
        <v>67</v>
      </c>
      <c r="C2" s="71" t="s">
        <v>68</v>
      </c>
      <c r="D2" s="71" t="s">
        <v>69</v>
      </c>
      <c r="E2" s="71" t="s">
        <v>70</v>
      </c>
      <c r="F2" s="86"/>
    </row>
    <row r="3" spans="1:8" ht="19.5" thickBot="1">
      <c r="A3" s="72" t="s">
        <v>71</v>
      </c>
      <c r="B3" s="73">
        <v>1</v>
      </c>
      <c r="C3" s="73" t="s">
        <v>72</v>
      </c>
      <c r="D3" s="73" t="s">
        <v>72</v>
      </c>
      <c r="E3" s="73" t="s">
        <v>72</v>
      </c>
      <c r="F3" s="79"/>
    </row>
    <row r="4" spans="1:8" ht="19.5" thickBot="1">
      <c r="A4" s="72" t="s">
        <v>73</v>
      </c>
      <c r="B4" s="73">
        <v>1</v>
      </c>
      <c r="C4" s="73">
        <v>1.5</v>
      </c>
      <c r="D4" s="73" t="s">
        <v>72</v>
      </c>
      <c r="E4" s="73" t="s">
        <v>72</v>
      </c>
      <c r="F4" s="79"/>
    </row>
    <row r="5" spans="1:8" ht="19.5" thickBot="1">
      <c r="A5" s="72" t="s">
        <v>74</v>
      </c>
      <c r="B5" s="73" t="s">
        <v>72</v>
      </c>
      <c r="C5" s="73">
        <v>2.25</v>
      </c>
      <c r="D5" s="73">
        <v>3</v>
      </c>
      <c r="E5" s="73" t="s">
        <v>72</v>
      </c>
      <c r="F5" s="79"/>
    </row>
    <row r="6" spans="1:8" ht="38.25" thickBot="1">
      <c r="A6" s="72" t="s">
        <v>75</v>
      </c>
      <c r="B6" s="73">
        <v>2</v>
      </c>
      <c r="C6" s="73">
        <v>3</v>
      </c>
      <c r="D6" s="73">
        <v>4</v>
      </c>
      <c r="E6" s="73">
        <v>6</v>
      </c>
      <c r="F6" s="79"/>
    </row>
    <row r="7" spans="1:8" ht="38.25" thickBot="1">
      <c r="A7" s="72" t="s">
        <v>76</v>
      </c>
      <c r="B7" s="73">
        <v>2.5</v>
      </c>
      <c r="C7" s="73">
        <v>3.75</v>
      </c>
      <c r="D7" s="73">
        <v>5</v>
      </c>
      <c r="E7" s="73">
        <v>7.5</v>
      </c>
      <c r="F7" s="79"/>
    </row>
    <row r="8" spans="1:8" ht="38.25" thickBot="1">
      <c r="A8" s="72" t="s">
        <v>77</v>
      </c>
      <c r="B8" s="73">
        <v>3</v>
      </c>
      <c r="C8" s="73">
        <v>4.5</v>
      </c>
      <c r="D8" s="73">
        <v>6</v>
      </c>
      <c r="E8" s="73">
        <v>9</v>
      </c>
      <c r="F8" s="79"/>
    </row>
    <row r="9" spans="1:8" ht="19.5" thickBot="1">
      <c r="A9" s="72" t="s">
        <v>78</v>
      </c>
      <c r="B9" s="73">
        <v>4</v>
      </c>
      <c r="C9" s="73">
        <v>6</v>
      </c>
      <c r="D9" s="73">
        <v>8</v>
      </c>
      <c r="E9" s="73">
        <v>12</v>
      </c>
      <c r="F9" s="79"/>
    </row>
    <row r="10" spans="1:8" ht="19.5" thickBot="1">
      <c r="A10" s="79"/>
      <c r="B10" s="79"/>
      <c r="C10" s="79"/>
      <c r="D10" s="79"/>
      <c r="E10" s="79"/>
      <c r="F10" s="79"/>
    </row>
    <row r="11" spans="1:8" ht="18.75">
      <c r="B11" s="80" t="s">
        <v>86</v>
      </c>
      <c r="G11" s="93" t="s">
        <v>100</v>
      </c>
      <c r="H11" s="94"/>
    </row>
    <row r="12" spans="1:8" ht="21" thickBot="1">
      <c r="A12" s="74" t="s">
        <v>79</v>
      </c>
      <c r="B12" s="74" t="s">
        <v>80</v>
      </c>
      <c r="C12" s="74" t="s">
        <v>81</v>
      </c>
      <c r="D12" s="74" t="s">
        <v>82</v>
      </c>
      <c r="E12" s="74" t="s">
        <v>83</v>
      </c>
      <c r="F12" s="87"/>
      <c r="G12" s="95" t="s">
        <v>96</v>
      </c>
      <c r="H12" s="96"/>
    </row>
    <row r="13" spans="1:8" ht="20.25">
      <c r="A13" s="74" t="s">
        <v>84</v>
      </c>
      <c r="B13" s="81">
        <v>0.5</v>
      </c>
      <c r="C13" s="81">
        <v>0</v>
      </c>
      <c r="D13" s="81">
        <v>0.33</v>
      </c>
      <c r="E13" s="82">
        <v>0.17</v>
      </c>
      <c r="F13" s="88"/>
      <c r="G13" s="75" t="s">
        <v>97</v>
      </c>
      <c r="H13" s="76">
        <f>4.5/12.5</f>
        <v>0.36</v>
      </c>
    </row>
    <row r="14" spans="1:8" ht="21" thickBot="1">
      <c r="A14" s="74" t="s">
        <v>85</v>
      </c>
      <c r="B14" s="81">
        <v>0.54</v>
      </c>
      <c r="C14" s="81">
        <v>0.04</v>
      </c>
      <c r="D14" s="81">
        <v>0.2</v>
      </c>
      <c r="E14" s="82">
        <v>0.17</v>
      </c>
      <c r="F14" s="88"/>
      <c r="G14" s="77" t="s">
        <v>98</v>
      </c>
      <c r="H14" s="78">
        <f>8/12.5</f>
        <v>0.64</v>
      </c>
    </row>
    <row r="15" spans="1:8" ht="15.75" thickBot="1"/>
    <row r="16" spans="1:8" ht="18.75">
      <c r="A16" s="80" t="s">
        <v>87</v>
      </c>
      <c r="G16" s="97" t="s">
        <v>99</v>
      </c>
      <c r="H16" s="94"/>
    </row>
    <row r="17" spans="1:9" ht="21">
      <c r="A17" s="83" t="s">
        <v>88</v>
      </c>
      <c r="B17" s="83" t="s">
        <v>89</v>
      </c>
      <c r="C17" s="83" t="s">
        <v>90</v>
      </c>
      <c r="D17" s="83" t="s">
        <v>91</v>
      </c>
      <c r="E17" s="83" t="s">
        <v>92</v>
      </c>
      <c r="F17" s="89"/>
      <c r="G17" s="98" t="s">
        <v>105</v>
      </c>
      <c r="H17" s="99">
        <f>7/9</f>
        <v>0.77777777777777779</v>
      </c>
    </row>
    <row r="18" spans="1:9" ht="21.75" thickBot="1">
      <c r="A18" s="83" t="s">
        <v>93</v>
      </c>
      <c r="B18" s="84">
        <f>B13*$I20</f>
        <v>0.10944444444444444</v>
      </c>
      <c r="C18" s="84">
        <f t="shared" ref="C18:E18" si="0">C13*$I20</f>
        <v>0</v>
      </c>
      <c r="D18" s="84">
        <f t="shared" si="0"/>
        <v>7.223333333333333E-2</v>
      </c>
      <c r="E18" s="84">
        <f t="shared" si="0"/>
        <v>3.7211111111111111E-2</v>
      </c>
      <c r="F18" s="90"/>
      <c r="G18" s="98" t="s">
        <v>104</v>
      </c>
      <c r="H18" s="99">
        <f>7/9</f>
        <v>0.77777777777777779</v>
      </c>
    </row>
    <row r="19" spans="1:9" ht="21">
      <c r="A19" s="83" t="s">
        <v>94</v>
      </c>
      <c r="B19" s="84">
        <f>B14*$I21</f>
        <v>0.19380000000000003</v>
      </c>
      <c r="C19" s="84">
        <f t="shared" ref="C19:E19" si="1">C14*$I21</f>
        <v>1.4355555555555557E-2</v>
      </c>
      <c r="D19" s="84">
        <f t="shared" si="1"/>
        <v>7.1777777777777788E-2</v>
      </c>
      <c r="E19" s="84">
        <f t="shared" si="1"/>
        <v>6.101111111111112E-2</v>
      </c>
      <c r="F19" s="90"/>
      <c r="G19" s="100" t="s">
        <v>101</v>
      </c>
      <c r="H19" s="101"/>
      <c r="I19" s="102"/>
    </row>
    <row r="20" spans="1:9" ht="18.75">
      <c r="A20" s="85" t="s">
        <v>95</v>
      </c>
      <c r="B20" s="85">
        <f>SUM(B18:B19)</f>
        <v>0.30324444444444448</v>
      </c>
      <c r="C20" s="85">
        <f t="shared" ref="C20:E20" si="2">SUM(C18:C19)</f>
        <v>1.4355555555555557E-2</v>
      </c>
      <c r="D20" s="85">
        <f t="shared" si="2"/>
        <v>0.14401111111111112</v>
      </c>
      <c r="E20" s="85">
        <f t="shared" si="2"/>
        <v>9.8222222222222239E-2</v>
      </c>
      <c r="F20" s="91"/>
      <c r="G20" s="103" t="s">
        <v>102</v>
      </c>
      <c r="H20" s="104"/>
      <c r="I20" s="105">
        <f>(0.1*H17+H13)/2</f>
        <v>0.21888888888888888</v>
      </c>
    </row>
    <row r="21" spans="1:9" ht="19.5" thickBot="1">
      <c r="G21" s="106" t="s">
        <v>103</v>
      </c>
      <c r="H21" s="107"/>
      <c r="I21" s="108">
        <f>(0.1*H18+H14)/2</f>
        <v>0.35888888888888892</v>
      </c>
    </row>
    <row r="25" spans="1:9" ht="18.75">
      <c r="G25" s="92"/>
    </row>
  </sheetData>
  <mergeCells count="2">
    <mergeCell ref="A1:A2"/>
    <mergeCell ref="B1:E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zoomScaleNormal="100" workbookViewId="0">
      <selection activeCell="M14" sqref="M14"/>
    </sheetView>
  </sheetViews>
  <sheetFormatPr defaultRowHeight="15"/>
  <cols>
    <col min="1" max="1" width="13.7109375" customWidth="1"/>
    <col min="6" max="6" width="2.85546875" customWidth="1"/>
    <col min="7" max="7" width="11.42578125" customWidth="1"/>
    <col min="12" max="12" width="14.28515625" customWidth="1"/>
    <col min="13" max="13" width="14" customWidth="1"/>
    <col min="15" max="15" width="11.7109375" customWidth="1"/>
    <col min="16" max="16" width="11.28515625" customWidth="1"/>
  </cols>
  <sheetData>
    <row r="1" spans="1:17" ht="15.75">
      <c r="A1" s="151" t="s">
        <v>64</v>
      </c>
      <c r="B1" s="152" t="s">
        <v>30</v>
      </c>
      <c r="C1" s="152"/>
      <c r="D1" s="152"/>
      <c r="E1" s="152"/>
      <c r="G1" t="s">
        <v>19</v>
      </c>
      <c r="H1" s="151" t="s">
        <v>64</v>
      </c>
      <c r="I1" s="152" t="s">
        <v>29</v>
      </c>
      <c r="J1" s="152"/>
      <c r="K1" s="152"/>
      <c r="L1" s="152"/>
      <c r="M1" t="s">
        <v>27</v>
      </c>
      <c r="N1" s="11" t="s">
        <v>20</v>
      </c>
      <c r="P1" s="20" t="s">
        <v>17</v>
      </c>
      <c r="Q1" s="18" t="s">
        <v>21</v>
      </c>
    </row>
    <row r="2" spans="1:17" ht="15.75">
      <c r="A2" s="151"/>
      <c r="B2" s="2" t="s">
        <v>5</v>
      </c>
      <c r="C2" s="2" t="s">
        <v>6</v>
      </c>
      <c r="D2" s="2" t="s">
        <v>7</v>
      </c>
      <c r="E2" s="2" t="s">
        <v>8</v>
      </c>
      <c r="H2" s="151"/>
      <c r="I2" s="2" t="s">
        <v>5</v>
      </c>
      <c r="J2" s="2" t="s">
        <v>6</v>
      </c>
      <c r="K2" s="2" t="s">
        <v>7</v>
      </c>
      <c r="L2" s="2" t="s">
        <v>8</v>
      </c>
      <c r="N2" s="11"/>
      <c r="P2" s="21" t="s">
        <v>32</v>
      </c>
      <c r="Q2" s="19"/>
    </row>
    <row r="3" spans="1:17" ht="15.75">
      <c r="A3" s="3" t="s">
        <v>0</v>
      </c>
      <c r="B3" s="3">
        <v>1</v>
      </c>
      <c r="C3" s="3">
        <v>1.5</v>
      </c>
      <c r="D3" s="3">
        <v>2</v>
      </c>
      <c r="E3" s="3">
        <v>1</v>
      </c>
      <c r="H3" s="3" t="s">
        <v>0</v>
      </c>
      <c r="I3" s="3">
        <f t="shared" ref="I3:L7" si="0">B13/B$18</f>
        <v>0.4</v>
      </c>
      <c r="J3" s="3">
        <f t="shared" si="0"/>
        <v>0.35</v>
      </c>
      <c r="K3" s="3">
        <f t="shared" si="0"/>
        <v>0.3</v>
      </c>
      <c r="L3" s="3">
        <f t="shared" si="0"/>
        <v>0.4</v>
      </c>
      <c r="M3" s="10">
        <f>SUM(I3:L3)</f>
        <v>1.4500000000000002</v>
      </c>
      <c r="N3" s="12">
        <f>AVERAGE(I3:L3)</f>
        <v>0.36250000000000004</v>
      </c>
      <c r="P3" s="22">
        <f>ABS(M3-$M$9)</f>
        <v>0.65000000000000013</v>
      </c>
      <c r="Q3" s="23">
        <f>P3^2</f>
        <v>0.42250000000000015</v>
      </c>
    </row>
    <row r="4" spans="1:17" ht="15.75">
      <c r="A4" s="3" t="s">
        <v>1</v>
      </c>
      <c r="B4" s="3">
        <v>3</v>
      </c>
      <c r="C4" s="3">
        <v>1.5</v>
      </c>
      <c r="D4" s="3">
        <v>1</v>
      </c>
      <c r="E4" s="3">
        <v>2</v>
      </c>
      <c r="H4" s="3" t="s">
        <v>1</v>
      </c>
      <c r="I4" s="3">
        <f t="shared" si="0"/>
        <v>0.2</v>
      </c>
      <c r="J4" s="3">
        <f t="shared" si="0"/>
        <v>0.35</v>
      </c>
      <c r="K4" s="3">
        <f t="shared" si="0"/>
        <v>0.4</v>
      </c>
      <c r="L4" s="3">
        <f t="shared" si="0"/>
        <v>0.3</v>
      </c>
      <c r="M4" s="10">
        <f t="shared" ref="M4:M7" si="1">SUM(I4:L4)</f>
        <v>1.25</v>
      </c>
      <c r="N4" s="12">
        <f t="shared" ref="N4:N7" si="2">AVERAGE(I4:L4)</f>
        <v>0.3125</v>
      </c>
      <c r="P4" s="22">
        <f t="shared" ref="P4:P7" si="3">ABS(M4-$M$9)</f>
        <v>0.44999999999999996</v>
      </c>
      <c r="Q4" s="23">
        <f t="shared" ref="Q4:Q7" si="4">P4^2</f>
        <v>0.20249999999999996</v>
      </c>
    </row>
    <row r="5" spans="1:17" ht="15.75">
      <c r="A5" s="3" t="s">
        <v>2</v>
      </c>
      <c r="B5" s="3">
        <v>2</v>
      </c>
      <c r="C5" s="3">
        <v>3</v>
      </c>
      <c r="D5" s="3">
        <v>3</v>
      </c>
      <c r="E5" s="3">
        <v>3.5</v>
      </c>
      <c r="H5" s="3" t="s">
        <v>2</v>
      </c>
      <c r="I5" s="3">
        <f t="shared" si="0"/>
        <v>0.3</v>
      </c>
      <c r="J5" s="3">
        <f t="shared" si="0"/>
        <v>0.2</v>
      </c>
      <c r="K5" s="3">
        <f t="shared" si="0"/>
        <v>0.2</v>
      </c>
      <c r="L5" s="3">
        <f t="shared" si="0"/>
        <v>0.15</v>
      </c>
      <c r="M5" s="10">
        <f t="shared" si="1"/>
        <v>0.85</v>
      </c>
      <c r="N5" s="12">
        <f t="shared" si="2"/>
        <v>0.21249999999999999</v>
      </c>
      <c r="P5" s="22">
        <f t="shared" si="3"/>
        <v>4.9999999999999933E-2</v>
      </c>
      <c r="Q5" s="23">
        <f t="shared" si="4"/>
        <v>2.4999999999999935E-3</v>
      </c>
    </row>
    <row r="6" spans="1:17" ht="15.75">
      <c r="A6" s="3" t="s">
        <v>3</v>
      </c>
      <c r="B6" s="3">
        <v>4</v>
      </c>
      <c r="C6" s="3">
        <v>5</v>
      </c>
      <c r="D6" s="3">
        <v>4</v>
      </c>
      <c r="E6" s="3">
        <v>3.5</v>
      </c>
      <c r="H6" s="3" t="s">
        <v>3</v>
      </c>
      <c r="I6" s="3">
        <f t="shared" si="0"/>
        <v>0.1</v>
      </c>
      <c r="J6" s="3">
        <f t="shared" si="0"/>
        <v>0</v>
      </c>
      <c r="K6" s="3">
        <f t="shared" si="0"/>
        <v>0.1</v>
      </c>
      <c r="L6" s="3">
        <f t="shared" si="0"/>
        <v>0.15</v>
      </c>
      <c r="M6" s="10">
        <f t="shared" si="1"/>
        <v>0.35</v>
      </c>
      <c r="N6" s="12">
        <f t="shared" si="2"/>
        <v>8.7499999999999994E-2</v>
      </c>
      <c r="P6" s="22">
        <f t="shared" si="3"/>
        <v>0.45000000000000007</v>
      </c>
      <c r="Q6" s="23">
        <f t="shared" si="4"/>
        <v>0.20250000000000007</v>
      </c>
    </row>
    <row r="7" spans="1:17" ht="15.75">
      <c r="A7" s="3" t="s">
        <v>4</v>
      </c>
      <c r="B7" s="3">
        <v>5</v>
      </c>
      <c r="C7" s="3">
        <v>4</v>
      </c>
      <c r="D7" s="3">
        <v>5</v>
      </c>
      <c r="E7" s="3">
        <v>5</v>
      </c>
      <c r="H7" s="3" t="s">
        <v>4</v>
      </c>
      <c r="I7" s="3">
        <f t="shared" si="0"/>
        <v>0</v>
      </c>
      <c r="J7" s="3">
        <f t="shared" si="0"/>
        <v>0.1</v>
      </c>
      <c r="K7" s="3">
        <f t="shared" si="0"/>
        <v>0</v>
      </c>
      <c r="L7" s="3">
        <f t="shared" si="0"/>
        <v>0</v>
      </c>
      <c r="M7" s="10">
        <f t="shared" si="1"/>
        <v>0.1</v>
      </c>
      <c r="N7" s="12">
        <f t="shared" si="2"/>
        <v>2.5000000000000001E-2</v>
      </c>
      <c r="P7" s="22">
        <f t="shared" si="3"/>
        <v>0.70000000000000007</v>
      </c>
      <c r="Q7" s="23">
        <f t="shared" si="4"/>
        <v>0.4900000000000001</v>
      </c>
    </row>
    <row r="8" spans="1:17" ht="15.75">
      <c r="A8" s="3" t="s">
        <v>12</v>
      </c>
      <c r="B8" s="3">
        <f>SUM(B3:B7)</f>
        <v>15</v>
      </c>
      <c r="C8" s="3">
        <f t="shared" ref="C8:E8" si="5">SUM(C3:C7)</f>
        <v>15</v>
      </c>
      <c r="D8" s="3">
        <f t="shared" si="5"/>
        <v>15</v>
      </c>
      <c r="E8" s="3">
        <f t="shared" si="5"/>
        <v>15</v>
      </c>
      <c r="H8" s="14" t="s">
        <v>12</v>
      </c>
      <c r="I8" s="14">
        <f>SUM(I3:I7)</f>
        <v>1.0000000000000002</v>
      </c>
      <c r="J8" s="14">
        <f t="shared" ref="J8:L8" si="6">SUM(J3:J7)</f>
        <v>0.99999999999999989</v>
      </c>
      <c r="K8" s="14">
        <f t="shared" si="6"/>
        <v>0.99999999999999989</v>
      </c>
      <c r="L8" s="15">
        <f t="shared" si="6"/>
        <v>1</v>
      </c>
      <c r="M8" s="10"/>
      <c r="N8" s="13">
        <f t="shared" ref="N8" si="7">SUM(N3:N7)</f>
        <v>1</v>
      </c>
      <c r="P8" s="25" t="s">
        <v>23</v>
      </c>
      <c r="Q8" s="25">
        <f>SUM(Q3:Q7)</f>
        <v>1.3200000000000003</v>
      </c>
    </row>
    <row r="9" spans="1:17" ht="18.75">
      <c r="A9" s="8"/>
      <c r="B9" s="8"/>
      <c r="C9" s="8"/>
      <c r="D9" s="8"/>
      <c r="E9" s="8"/>
      <c r="L9" s="16" t="s">
        <v>28</v>
      </c>
      <c r="M9" s="70">
        <f>AVERAGE(M3:M7)</f>
        <v>0.8</v>
      </c>
      <c r="O9" s="17" t="s">
        <v>22</v>
      </c>
      <c r="P9" s="17">
        <f>AVERAGE(P3:P7)</f>
        <v>0.46000000000000008</v>
      </c>
    </row>
    <row r="10" spans="1:17" ht="15.75">
      <c r="A10" s="63" t="s">
        <v>62</v>
      </c>
      <c r="B10" s="64">
        <f>MAX(B3:E7)</f>
        <v>5</v>
      </c>
      <c r="D10" s="9" t="s">
        <v>61</v>
      </c>
    </row>
    <row r="11" spans="1:17" ht="15.75">
      <c r="A11" s="151" t="s">
        <v>64</v>
      </c>
      <c r="B11" s="152" t="s">
        <v>31</v>
      </c>
      <c r="C11" s="152"/>
      <c r="D11" s="152"/>
      <c r="E11" s="152"/>
      <c r="P11" s="24" t="s">
        <v>24</v>
      </c>
      <c r="Q11" s="24">
        <f>AVERAGE(Q3:Q7)</f>
        <v>0.26400000000000007</v>
      </c>
    </row>
    <row r="12" spans="1:17" ht="15.75">
      <c r="A12" s="151"/>
      <c r="B12" s="2" t="s">
        <v>5</v>
      </c>
      <c r="C12" s="2" t="s">
        <v>6</v>
      </c>
      <c r="D12" s="2" t="s">
        <v>7</v>
      </c>
      <c r="E12" s="2" t="s">
        <v>8</v>
      </c>
      <c r="P12" s="24" t="s">
        <v>16</v>
      </c>
      <c r="Q12" s="24">
        <f>Q11^(1/2)</f>
        <v>0.51380930314660522</v>
      </c>
    </row>
    <row r="13" spans="1:17" ht="16.5" thickBot="1">
      <c r="A13" s="3" t="s">
        <v>0</v>
      </c>
      <c r="B13" s="3">
        <f>$B$10-B3</f>
        <v>4</v>
      </c>
      <c r="C13" s="3">
        <f t="shared" ref="C13:E13" si="8">$B$10-C3</f>
        <v>3.5</v>
      </c>
      <c r="D13" s="3">
        <f t="shared" si="8"/>
        <v>3</v>
      </c>
      <c r="E13" s="3">
        <f t="shared" si="8"/>
        <v>4</v>
      </c>
      <c r="H13" s="4" t="s">
        <v>14</v>
      </c>
    </row>
    <row r="14" spans="1:17" ht="16.5" thickBot="1">
      <c r="A14" s="3" t="s">
        <v>1</v>
      </c>
      <c r="B14" s="3">
        <f t="shared" ref="B14:E14" si="9">$B$10-B4</f>
        <v>2</v>
      </c>
      <c r="C14" s="3">
        <f t="shared" si="9"/>
        <v>3.5</v>
      </c>
      <c r="D14" s="3">
        <f t="shared" si="9"/>
        <v>4</v>
      </c>
      <c r="E14" s="3">
        <f t="shared" si="9"/>
        <v>3</v>
      </c>
      <c r="H14" s="5" t="s">
        <v>63</v>
      </c>
      <c r="M14" s="24">
        <f>12*Q8/(4*4*(5^3-5))</f>
        <v>8.2500000000000021E-3</v>
      </c>
      <c r="O14" s="26" t="s">
        <v>25</v>
      </c>
      <c r="P14" s="27"/>
    </row>
    <row r="15" spans="1:17" ht="16.5" thickBot="1">
      <c r="A15" s="3" t="s">
        <v>2</v>
      </c>
      <c r="B15" s="3">
        <f t="shared" ref="B15:E15" si="10">$B$10-B5</f>
        <v>3</v>
      </c>
      <c r="C15" s="3">
        <f t="shared" si="10"/>
        <v>2</v>
      </c>
      <c r="D15" s="3">
        <f t="shared" si="10"/>
        <v>2</v>
      </c>
      <c r="E15" s="3">
        <f t="shared" si="10"/>
        <v>1.5</v>
      </c>
      <c r="O15" s="28" t="s">
        <v>26</v>
      </c>
      <c r="P15" s="29">
        <f>Q12/M9</f>
        <v>0.64226162893325645</v>
      </c>
    </row>
    <row r="16" spans="1:17" ht="15.75">
      <c r="A16" s="3" t="s">
        <v>3</v>
      </c>
      <c r="B16" s="3">
        <f t="shared" ref="B16:E16" si="11">$B$10-B6</f>
        <v>1</v>
      </c>
      <c r="C16" s="3">
        <f t="shared" si="11"/>
        <v>0</v>
      </c>
      <c r="D16" s="3">
        <f t="shared" si="11"/>
        <v>1</v>
      </c>
      <c r="E16" s="3">
        <f t="shared" si="11"/>
        <v>1.5</v>
      </c>
    </row>
    <row r="17" spans="1:5" ht="15.75">
      <c r="A17" s="3" t="s">
        <v>4</v>
      </c>
      <c r="B17" s="3">
        <f t="shared" ref="B17:E17" si="12">$B$10-B7</f>
        <v>0</v>
      </c>
      <c r="C17" s="3">
        <f t="shared" si="12"/>
        <v>1</v>
      </c>
      <c r="D17" s="3">
        <f t="shared" si="12"/>
        <v>0</v>
      </c>
      <c r="E17" s="3">
        <f t="shared" si="12"/>
        <v>0</v>
      </c>
    </row>
    <row r="18" spans="1:5" ht="15.75">
      <c r="A18" s="3" t="s">
        <v>12</v>
      </c>
      <c r="B18" s="3">
        <f>SUM(B13:B17)</f>
        <v>10</v>
      </c>
      <c r="C18" s="3">
        <f t="shared" ref="C18:E18" si="13">SUM(C13:C17)</f>
        <v>10</v>
      </c>
      <c r="D18" s="3">
        <f t="shared" si="13"/>
        <v>10</v>
      </c>
      <c r="E18" s="3">
        <f t="shared" si="13"/>
        <v>10</v>
      </c>
    </row>
  </sheetData>
  <mergeCells count="6">
    <mergeCell ref="H1:H2"/>
    <mergeCell ref="I1:L1"/>
    <mergeCell ref="A1:A2"/>
    <mergeCell ref="B1:E1"/>
    <mergeCell ref="A11:A12"/>
    <mergeCell ref="B11:E1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tabSelected="1" zoomScaleNormal="100" workbookViewId="0">
      <selection activeCell="K33" sqref="K33"/>
    </sheetView>
  </sheetViews>
  <sheetFormatPr defaultRowHeight="15"/>
  <cols>
    <col min="1" max="1" width="13.7109375" customWidth="1"/>
    <col min="8" max="8" width="9" customWidth="1"/>
    <col min="9" max="9" width="4.28515625" customWidth="1"/>
    <col min="10" max="10" width="32.140625" customWidth="1"/>
    <col min="11" max="11" width="19.42578125" customWidth="1"/>
    <col min="12" max="13" width="17.28515625" customWidth="1"/>
    <col min="14" max="15" width="16.140625" customWidth="1"/>
    <col min="16" max="16" width="18.28515625" customWidth="1"/>
    <col min="17" max="17" width="23" customWidth="1"/>
    <col min="18" max="18" width="18.42578125" customWidth="1"/>
    <col min="19" max="19" width="11.28515625" customWidth="1"/>
    <col min="20" max="20" width="16.7109375" customWidth="1"/>
  </cols>
  <sheetData>
    <row r="1" spans="1:20" ht="15.75">
      <c r="A1" s="151" t="s">
        <v>108</v>
      </c>
      <c r="B1" s="152" t="s">
        <v>106</v>
      </c>
      <c r="C1" s="152"/>
      <c r="D1" s="152"/>
      <c r="E1" s="152"/>
      <c r="F1" s="152"/>
      <c r="G1" s="152"/>
      <c r="J1" s="153" t="s">
        <v>123</v>
      </c>
      <c r="K1" s="140" t="s">
        <v>125</v>
      </c>
      <c r="L1" s="141"/>
      <c r="M1" s="141"/>
      <c r="N1" s="141"/>
      <c r="O1" s="141"/>
      <c r="P1" s="142"/>
      <c r="Q1" s="11"/>
      <c r="S1" s="114"/>
      <c r="T1" s="115"/>
    </row>
    <row r="2" spans="1:20" ht="15.75">
      <c r="A2" s="15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107</v>
      </c>
      <c r="J2" s="153"/>
      <c r="K2" s="2" t="s">
        <v>0</v>
      </c>
      <c r="L2" s="2" t="s">
        <v>1</v>
      </c>
      <c r="M2" s="2" t="s">
        <v>2</v>
      </c>
      <c r="N2" s="2" t="s">
        <v>3</v>
      </c>
      <c r="O2" s="2" t="s">
        <v>4</v>
      </c>
      <c r="P2" s="2" t="s">
        <v>107</v>
      </c>
      <c r="Q2" s="11"/>
      <c r="S2" s="114"/>
      <c r="T2" s="115"/>
    </row>
    <row r="3" spans="1:20" ht="15.75">
      <c r="A3" s="3" t="s">
        <v>5</v>
      </c>
      <c r="B3" s="3">
        <v>1</v>
      </c>
      <c r="C3" s="3">
        <v>4</v>
      </c>
      <c r="D3" s="3">
        <v>3</v>
      </c>
      <c r="E3" s="3">
        <v>2</v>
      </c>
      <c r="F3" s="3">
        <v>6</v>
      </c>
      <c r="G3" s="3">
        <v>5</v>
      </c>
      <c r="J3" s="2" t="s">
        <v>5</v>
      </c>
      <c r="K3" s="3">
        <f t="shared" ref="K3:K15" si="0">B22/$H22</f>
        <v>0.33333333333333331</v>
      </c>
      <c r="L3" s="3">
        <f t="shared" ref="L3:L15" si="1">C22/$H22</f>
        <v>0.13333333333333333</v>
      </c>
      <c r="M3" s="3">
        <f t="shared" ref="M3:M15" si="2">D22/$H22</f>
        <v>0.2</v>
      </c>
      <c r="N3" s="3">
        <f t="shared" ref="N3:N15" si="3">E22/$H22</f>
        <v>0.26666666666666666</v>
      </c>
      <c r="O3" s="3">
        <f t="shared" ref="O3:O15" si="4">F22/$H22</f>
        <v>0</v>
      </c>
      <c r="P3" s="3">
        <f t="shared" ref="P3:P15" si="5">G22/$H22</f>
        <v>6.6666666666666666E-2</v>
      </c>
      <c r="Q3" s="12">
        <f>SUM(K3:P3)</f>
        <v>1</v>
      </c>
      <c r="S3" s="114"/>
      <c r="T3" s="115"/>
    </row>
    <row r="4" spans="1:20" ht="15.75">
      <c r="A4" s="3" t="s">
        <v>6</v>
      </c>
      <c r="B4" s="3">
        <v>1</v>
      </c>
      <c r="C4" s="3">
        <v>4</v>
      </c>
      <c r="D4" s="3">
        <v>3</v>
      </c>
      <c r="E4" s="3">
        <v>2</v>
      </c>
      <c r="F4" s="3">
        <v>6</v>
      </c>
      <c r="G4" s="3">
        <v>5</v>
      </c>
      <c r="J4" s="2" t="s">
        <v>6</v>
      </c>
      <c r="K4" s="3">
        <f t="shared" si="0"/>
        <v>0.33333333333333331</v>
      </c>
      <c r="L4" s="3">
        <f t="shared" si="1"/>
        <v>0.13333333333333333</v>
      </c>
      <c r="M4" s="3">
        <f t="shared" si="2"/>
        <v>0.2</v>
      </c>
      <c r="N4" s="3">
        <f t="shared" si="3"/>
        <v>0.26666666666666666</v>
      </c>
      <c r="O4" s="3">
        <f t="shared" si="4"/>
        <v>0</v>
      </c>
      <c r="P4" s="3">
        <f t="shared" si="5"/>
        <v>6.6666666666666666E-2</v>
      </c>
      <c r="Q4" s="12">
        <f t="shared" ref="Q4:Q15" si="6">SUM(K4:P4)</f>
        <v>1</v>
      </c>
      <c r="S4" s="114"/>
      <c r="T4" s="115"/>
    </row>
    <row r="5" spans="1:20" ht="15.75">
      <c r="A5" s="3" t="s">
        <v>7</v>
      </c>
      <c r="B5" s="3">
        <v>2</v>
      </c>
      <c r="C5" s="3">
        <v>1</v>
      </c>
      <c r="D5" s="3">
        <v>3</v>
      </c>
      <c r="E5" s="3">
        <v>4</v>
      </c>
      <c r="F5" s="3">
        <v>5</v>
      </c>
      <c r="G5" s="3">
        <v>6</v>
      </c>
      <c r="J5" s="2" t="s">
        <v>7</v>
      </c>
      <c r="K5" s="3">
        <f t="shared" si="0"/>
        <v>0.26666666666666666</v>
      </c>
      <c r="L5" s="3">
        <f t="shared" si="1"/>
        <v>0.33333333333333331</v>
      </c>
      <c r="M5" s="3">
        <f t="shared" si="2"/>
        <v>0.2</v>
      </c>
      <c r="N5" s="3">
        <f t="shared" si="3"/>
        <v>0.13333333333333333</v>
      </c>
      <c r="O5" s="3">
        <f t="shared" si="4"/>
        <v>6.6666666666666666E-2</v>
      </c>
      <c r="P5" s="3">
        <f t="shared" si="5"/>
        <v>0</v>
      </c>
      <c r="Q5" s="12">
        <f t="shared" si="6"/>
        <v>1</v>
      </c>
      <c r="S5" s="114"/>
      <c r="T5" s="115"/>
    </row>
    <row r="6" spans="1:20" ht="15.75">
      <c r="A6" s="3" t="s">
        <v>8</v>
      </c>
      <c r="B6" s="3">
        <v>2</v>
      </c>
      <c r="C6" s="3">
        <v>4</v>
      </c>
      <c r="D6" s="3">
        <v>5</v>
      </c>
      <c r="E6" s="3">
        <v>1</v>
      </c>
      <c r="F6" s="3">
        <v>6</v>
      </c>
      <c r="G6" s="3">
        <v>3</v>
      </c>
      <c r="J6" s="2" t="s">
        <v>8</v>
      </c>
      <c r="K6" s="3">
        <f t="shared" si="0"/>
        <v>0.26666666666666666</v>
      </c>
      <c r="L6" s="3">
        <f t="shared" si="1"/>
        <v>0.13333333333333333</v>
      </c>
      <c r="M6" s="3">
        <f t="shared" si="2"/>
        <v>6.6666666666666666E-2</v>
      </c>
      <c r="N6" s="3">
        <f t="shared" si="3"/>
        <v>0.33333333333333331</v>
      </c>
      <c r="O6" s="3">
        <f t="shared" si="4"/>
        <v>0</v>
      </c>
      <c r="P6" s="3">
        <f t="shared" si="5"/>
        <v>0.2</v>
      </c>
      <c r="Q6" s="12">
        <f t="shared" si="6"/>
        <v>1</v>
      </c>
      <c r="S6" s="114"/>
      <c r="T6" s="115"/>
    </row>
    <row r="7" spans="1:20" ht="15.75">
      <c r="A7" s="3" t="s">
        <v>109</v>
      </c>
      <c r="B7" s="3">
        <v>4</v>
      </c>
      <c r="C7" s="3">
        <v>3</v>
      </c>
      <c r="D7" s="3">
        <v>5</v>
      </c>
      <c r="E7" s="3">
        <v>2</v>
      </c>
      <c r="F7" s="3">
        <v>6</v>
      </c>
      <c r="G7" s="3">
        <v>1</v>
      </c>
      <c r="J7" s="2" t="s">
        <v>109</v>
      </c>
      <c r="K7" s="3">
        <f t="shared" si="0"/>
        <v>0.13333333333333333</v>
      </c>
      <c r="L7" s="3">
        <f t="shared" si="1"/>
        <v>0.2</v>
      </c>
      <c r="M7" s="3">
        <f t="shared" si="2"/>
        <v>6.6666666666666666E-2</v>
      </c>
      <c r="N7" s="3">
        <f t="shared" si="3"/>
        <v>0.26666666666666666</v>
      </c>
      <c r="O7" s="3">
        <f t="shared" si="4"/>
        <v>0</v>
      </c>
      <c r="P7" s="3">
        <f t="shared" si="5"/>
        <v>0.33333333333333331</v>
      </c>
      <c r="Q7" s="12">
        <f t="shared" si="6"/>
        <v>1</v>
      </c>
      <c r="S7" s="114"/>
      <c r="T7" s="115"/>
    </row>
    <row r="8" spans="1:20" ht="15.75">
      <c r="A8" s="3" t="s">
        <v>110</v>
      </c>
      <c r="B8" s="3">
        <v>4</v>
      </c>
      <c r="C8" s="3">
        <v>2</v>
      </c>
      <c r="D8" s="3">
        <v>3</v>
      </c>
      <c r="E8" s="3">
        <v>1</v>
      </c>
      <c r="F8" s="3">
        <v>6</v>
      </c>
      <c r="G8" s="3">
        <v>5</v>
      </c>
      <c r="J8" s="2" t="s">
        <v>110</v>
      </c>
      <c r="K8" s="3">
        <f t="shared" si="0"/>
        <v>0.13333333333333333</v>
      </c>
      <c r="L8" s="3">
        <f t="shared" si="1"/>
        <v>0.26666666666666666</v>
      </c>
      <c r="M8" s="3">
        <f t="shared" si="2"/>
        <v>0.2</v>
      </c>
      <c r="N8" s="3">
        <f t="shared" si="3"/>
        <v>0.33333333333333331</v>
      </c>
      <c r="O8" s="3">
        <f t="shared" si="4"/>
        <v>0</v>
      </c>
      <c r="P8" s="3">
        <f t="shared" si="5"/>
        <v>6.6666666666666666E-2</v>
      </c>
      <c r="Q8" s="12">
        <f t="shared" si="6"/>
        <v>1</v>
      </c>
      <c r="S8" s="114"/>
      <c r="T8" s="115"/>
    </row>
    <row r="9" spans="1:20" ht="15.75">
      <c r="A9" s="3" t="s">
        <v>111</v>
      </c>
      <c r="B9" s="3">
        <v>5</v>
      </c>
      <c r="C9" s="3">
        <v>4</v>
      </c>
      <c r="D9" s="3">
        <v>6</v>
      </c>
      <c r="E9" s="3">
        <v>1</v>
      </c>
      <c r="F9" s="3">
        <v>3</v>
      </c>
      <c r="G9" s="3">
        <v>2</v>
      </c>
      <c r="J9" s="2" t="s">
        <v>111</v>
      </c>
      <c r="K9" s="3">
        <f t="shared" si="0"/>
        <v>6.6666666666666666E-2</v>
      </c>
      <c r="L9" s="3">
        <f t="shared" si="1"/>
        <v>0.13333333333333333</v>
      </c>
      <c r="M9" s="3">
        <f t="shared" si="2"/>
        <v>0</v>
      </c>
      <c r="N9" s="3">
        <f t="shared" si="3"/>
        <v>0.33333333333333331</v>
      </c>
      <c r="O9" s="3">
        <f t="shared" si="4"/>
        <v>0.2</v>
      </c>
      <c r="P9" s="3">
        <f t="shared" si="5"/>
        <v>0.26666666666666666</v>
      </c>
      <c r="Q9" s="12">
        <f t="shared" si="6"/>
        <v>1</v>
      </c>
      <c r="S9" s="114"/>
      <c r="T9" s="115"/>
    </row>
    <row r="10" spans="1:20" ht="15.75">
      <c r="A10" s="3" t="s">
        <v>112</v>
      </c>
      <c r="B10" s="3">
        <v>6</v>
      </c>
      <c r="C10" s="3">
        <v>5</v>
      </c>
      <c r="D10" s="3">
        <v>3</v>
      </c>
      <c r="E10" s="3">
        <v>1</v>
      </c>
      <c r="F10" s="3">
        <v>4</v>
      </c>
      <c r="G10" s="3">
        <v>2</v>
      </c>
      <c r="J10" s="2" t="s">
        <v>112</v>
      </c>
      <c r="K10" s="3">
        <f t="shared" si="0"/>
        <v>0</v>
      </c>
      <c r="L10" s="3">
        <f t="shared" si="1"/>
        <v>6.6666666666666666E-2</v>
      </c>
      <c r="M10" s="3">
        <f t="shared" si="2"/>
        <v>0.2</v>
      </c>
      <c r="N10" s="3">
        <f t="shared" si="3"/>
        <v>0.33333333333333331</v>
      </c>
      <c r="O10" s="3">
        <f t="shared" si="4"/>
        <v>0.13333333333333333</v>
      </c>
      <c r="P10" s="3">
        <f t="shared" si="5"/>
        <v>0.26666666666666666</v>
      </c>
      <c r="Q10" s="12">
        <f t="shared" si="6"/>
        <v>1</v>
      </c>
      <c r="S10" s="114"/>
      <c r="T10" s="115"/>
    </row>
    <row r="11" spans="1:20" ht="15.75">
      <c r="A11" s="3" t="s">
        <v>113</v>
      </c>
      <c r="B11" s="3">
        <v>6</v>
      </c>
      <c r="C11" s="3">
        <v>5</v>
      </c>
      <c r="D11" s="3">
        <v>4</v>
      </c>
      <c r="E11" s="3">
        <v>2</v>
      </c>
      <c r="F11" s="3">
        <v>3</v>
      </c>
      <c r="G11" s="3">
        <v>1</v>
      </c>
      <c r="J11" s="2" t="s">
        <v>113</v>
      </c>
      <c r="K11" s="3">
        <f t="shared" si="0"/>
        <v>0</v>
      </c>
      <c r="L11" s="3">
        <f t="shared" si="1"/>
        <v>6.6666666666666666E-2</v>
      </c>
      <c r="M11" s="3">
        <f t="shared" si="2"/>
        <v>0.13333333333333333</v>
      </c>
      <c r="N11" s="3">
        <f t="shared" si="3"/>
        <v>0.26666666666666666</v>
      </c>
      <c r="O11" s="3">
        <f t="shared" si="4"/>
        <v>0.2</v>
      </c>
      <c r="P11" s="3">
        <f t="shared" si="5"/>
        <v>0.33333333333333331</v>
      </c>
      <c r="Q11" s="12">
        <f t="shared" si="6"/>
        <v>1</v>
      </c>
      <c r="S11" s="114"/>
      <c r="T11" s="115"/>
    </row>
    <row r="12" spans="1:20" ht="15.75">
      <c r="A12" s="3" t="s">
        <v>114</v>
      </c>
      <c r="B12" s="3">
        <v>1</v>
      </c>
      <c r="C12" s="3">
        <v>3</v>
      </c>
      <c r="D12" s="3">
        <v>4</v>
      </c>
      <c r="E12" s="3">
        <v>2</v>
      </c>
      <c r="F12" s="3">
        <v>6</v>
      </c>
      <c r="G12" s="3">
        <v>5</v>
      </c>
      <c r="J12" s="2" t="s">
        <v>114</v>
      </c>
      <c r="K12" s="3">
        <f t="shared" si="0"/>
        <v>0.33333333333333331</v>
      </c>
      <c r="L12" s="3">
        <f t="shared" si="1"/>
        <v>0.2</v>
      </c>
      <c r="M12" s="3">
        <f t="shared" si="2"/>
        <v>0.13333333333333333</v>
      </c>
      <c r="N12" s="3">
        <f t="shared" si="3"/>
        <v>0.26666666666666666</v>
      </c>
      <c r="O12" s="3">
        <f t="shared" si="4"/>
        <v>0</v>
      </c>
      <c r="P12" s="3">
        <f t="shared" si="5"/>
        <v>6.6666666666666666E-2</v>
      </c>
      <c r="Q12" s="12">
        <f t="shared" si="6"/>
        <v>1</v>
      </c>
      <c r="S12" s="114"/>
      <c r="T12" s="115"/>
    </row>
    <row r="13" spans="1:20" ht="15.75">
      <c r="A13" s="3" t="s">
        <v>115</v>
      </c>
      <c r="B13" s="3">
        <v>1</v>
      </c>
      <c r="C13" s="3">
        <v>4</v>
      </c>
      <c r="D13" s="3">
        <v>3</v>
      </c>
      <c r="E13" s="3">
        <v>2</v>
      </c>
      <c r="F13" s="3">
        <v>5</v>
      </c>
      <c r="G13" s="3">
        <v>6</v>
      </c>
      <c r="J13" s="2" t="s">
        <v>115</v>
      </c>
      <c r="K13" s="3">
        <f t="shared" si="0"/>
        <v>0.33333333333333331</v>
      </c>
      <c r="L13" s="3">
        <f t="shared" si="1"/>
        <v>0.13333333333333333</v>
      </c>
      <c r="M13" s="3">
        <f t="shared" si="2"/>
        <v>0.2</v>
      </c>
      <c r="N13" s="3">
        <f t="shared" si="3"/>
        <v>0.26666666666666666</v>
      </c>
      <c r="O13" s="3">
        <f t="shared" si="4"/>
        <v>6.6666666666666666E-2</v>
      </c>
      <c r="P13" s="3">
        <f t="shared" si="5"/>
        <v>0</v>
      </c>
      <c r="Q13" s="12">
        <f t="shared" si="6"/>
        <v>1</v>
      </c>
      <c r="S13" s="114"/>
      <c r="T13" s="115"/>
    </row>
    <row r="14" spans="1:20" ht="15.75">
      <c r="A14" s="3" t="s">
        <v>116</v>
      </c>
      <c r="B14" s="3">
        <v>4</v>
      </c>
      <c r="C14" s="3">
        <v>1</v>
      </c>
      <c r="D14" s="3">
        <v>3</v>
      </c>
      <c r="E14" s="3">
        <v>2</v>
      </c>
      <c r="F14" s="3">
        <v>6</v>
      </c>
      <c r="G14" s="3">
        <v>5</v>
      </c>
      <c r="J14" s="2" t="s">
        <v>116</v>
      </c>
      <c r="K14" s="3">
        <f t="shared" si="0"/>
        <v>0.13333333333333333</v>
      </c>
      <c r="L14" s="3">
        <f t="shared" si="1"/>
        <v>0.33333333333333331</v>
      </c>
      <c r="M14" s="3">
        <f t="shared" si="2"/>
        <v>0.2</v>
      </c>
      <c r="N14" s="3">
        <f t="shared" si="3"/>
        <v>0.26666666666666666</v>
      </c>
      <c r="O14" s="3">
        <f t="shared" si="4"/>
        <v>0</v>
      </c>
      <c r="P14" s="3">
        <f t="shared" si="5"/>
        <v>6.6666666666666666E-2</v>
      </c>
      <c r="Q14" s="12">
        <f t="shared" si="6"/>
        <v>1</v>
      </c>
      <c r="S14" s="114"/>
      <c r="T14" s="115"/>
    </row>
    <row r="15" spans="1:20" ht="15.75">
      <c r="A15" s="3" t="s">
        <v>117</v>
      </c>
      <c r="B15" s="3">
        <v>4</v>
      </c>
      <c r="C15" s="3">
        <v>3</v>
      </c>
      <c r="D15" s="3">
        <v>5</v>
      </c>
      <c r="E15" s="3">
        <v>1</v>
      </c>
      <c r="F15" s="3">
        <v>6</v>
      </c>
      <c r="G15" s="3">
        <v>2</v>
      </c>
      <c r="J15" s="2" t="s">
        <v>117</v>
      </c>
      <c r="K15" s="3">
        <f t="shared" si="0"/>
        <v>0.13333333333333333</v>
      </c>
      <c r="L15" s="3">
        <f t="shared" si="1"/>
        <v>0.2</v>
      </c>
      <c r="M15" s="3">
        <f t="shared" si="2"/>
        <v>6.6666666666666666E-2</v>
      </c>
      <c r="N15" s="3">
        <f t="shared" si="3"/>
        <v>0.33333333333333331</v>
      </c>
      <c r="O15" s="3">
        <f t="shared" si="4"/>
        <v>0</v>
      </c>
      <c r="P15" s="3">
        <f t="shared" si="5"/>
        <v>0.26666666666666666</v>
      </c>
      <c r="Q15" s="12">
        <f t="shared" si="6"/>
        <v>1</v>
      </c>
      <c r="S15" s="114"/>
      <c r="T15" s="115"/>
    </row>
    <row r="16" spans="1:20" ht="20.25" thickBot="1">
      <c r="A16" s="3" t="s">
        <v>12</v>
      </c>
      <c r="B16" s="3">
        <f>SUM(B3:B15)</f>
        <v>41</v>
      </c>
      <c r="C16" s="3">
        <f t="shared" ref="C16:G16" si="7">SUM(C3:C15)</f>
        <v>43</v>
      </c>
      <c r="D16" s="3">
        <f t="shared" si="7"/>
        <v>50</v>
      </c>
      <c r="E16" s="3">
        <f t="shared" si="7"/>
        <v>23</v>
      </c>
      <c r="F16" s="3">
        <f t="shared" si="7"/>
        <v>68</v>
      </c>
      <c r="G16" s="3">
        <f t="shared" si="7"/>
        <v>48</v>
      </c>
      <c r="J16" s="128" t="s">
        <v>27</v>
      </c>
      <c r="K16" s="129">
        <f>SUM(K3:K15)</f>
        <v>2.4666666666666663</v>
      </c>
      <c r="L16" s="129">
        <f t="shared" ref="L16:P16" si="8">SUM(L3:L15)</f>
        <v>2.3333333333333335</v>
      </c>
      <c r="M16" s="129">
        <f t="shared" si="8"/>
        <v>1.8666666666666665</v>
      </c>
      <c r="N16" s="129">
        <f t="shared" si="8"/>
        <v>3.6666666666666665</v>
      </c>
      <c r="O16" s="129">
        <f t="shared" si="8"/>
        <v>0.66666666666666674</v>
      </c>
      <c r="P16" s="129">
        <f t="shared" si="8"/>
        <v>1.9999999999999998</v>
      </c>
      <c r="Q16" s="113" t="s">
        <v>118</v>
      </c>
      <c r="R16" s="111">
        <f>AVERAGE(K16:P16)</f>
        <v>2.1666666666666665</v>
      </c>
      <c r="S16" s="116"/>
      <c r="T16" s="116"/>
    </row>
    <row r="17" spans="1:20" ht="69.75" thickTop="1" thickBot="1">
      <c r="A17" s="8"/>
      <c r="B17" s="8"/>
      <c r="C17" s="8"/>
      <c r="D17" s="8"/>
      <c r="E17" s="8"/>
      <c r="F17" s="8"/>
      <c r="G17" s="8"/>
      <c r="J17" s="135" t="s">
        <v>127</v>
      </c>
      <c r="K17" s="133">
        <f>AVERAGE(K3:K15)</f>
        <v>0.18974358974358971</v>
      </c>
      <c r="L17" s="133">
        <f t="shared" ref="L17:P17" si="9">AVERAGE(L3:L15)</f>
        <v>0.17948717948717949</v>
      </c>
      <c r="M17" s="133">
        <f t="shared" si="9"/>
        <v>0.14358974358974358</v>
      </c>
      <c r="N17" s="133">
        <f t="shared" si="9"/>
        <v>0.28205128205128205</v>
      </c>
      <c r="O17" s="133">
        <f t="shared" si="9"/>
        <v>5.1282051282051287E-2</v>
      </c>
      <c r="P17" s="134">
        <f t="shared" si="9"/>
        <v>0.15384615384615383</v>
      </c>
      <c r="Q17" s="127">
        <f>SUM(K17:P17)</f>
        <v>1</v>
      </c>
      <c r="R17" s="118"/>
      <c r="S17" s="110"/>
      <c r="T17" s="117"/>
    </row>
    <row r="18" spans="1:20" ht="16.5" thickTop="1">
      <c r="A18" s="8"/>
      <c r="B18" s="8"/>
      <c r="C18" s="8"/>
      <c r="D18" s="8"/>
      <c r="E18" s="8"/>
      <c r="F18" s="8"/>
      <c r="G18" s="8"/>
      <c r="J18" s="130" t="s">
        <v>119</v>
      </c>
      <c r="K18" s="131">
        <f>ABS(K17-$R$16)</f>
        <v>1.9769230769230768</v>
      </c>
      <c r="L18" s="131">
        <f t="shared" ref="L18:P18" si="10">ABS(L17-$R$16)</f>
        <v>1.987179487179487</v>
      </c>
      <c r="M18" s="131">
        <f t="shared" si="10"/>
        <v>2.023076923076923</v>
      </c>
      <c r="N18" s="131">
        <f t="shared" si="10"/>
        <v>1.8846153846153846</v>
      </c>
      <c r="O18" s="131">
        <f t="shared" si="10"/>
        <v>2.1153846153846154</v>
      </c>
      <c r="P18" s="131">
        <f t="shared" si="10"/>
        <v>2.0128205128205128</v>
      </c>
      <c r="R18" s="110"/>
      <c r="S18" s="110"/>
    </row>
    <row r="19" spans="1:20" ht="15.75">
      <c r="A19" s="63" t="s">
        <v>62</v>
      </c>
      <c r="B19" s="64">
        <f>MAX(B3:G15)</f>
        <v>6</v>
      </c>
      <c r="D19" s="9" t="s">
        <v>61</v>
      </c>
      <c r="E19" s="9"/>
      <c r="F19" s="9"/>
      <c r="J19" s="112" t="s">
        <v>120</v>
      </c>
      <c r="K19" s="3">
        <f>K18^2</f>
        <v>3.9082248520710055</v>
      </c>
      <c r="L19" s="3">
        <f t="shared" ref="L19:P19" si="11">L18^2</f>
        <v>3.9488823142669291</v>
      </c>
      <c r="M19" s="3">
        <f t="shared" si="11"/>
        <v>4.0928402366863903</v>
      </c>
      <c r="N19" s="3">
        <f t="shared" si="11"/>
        <v>3.5517751479289941</v>
      </c>
      <c r="O19" s="3">
        <f t="shared" si="11"/>
        <v>4.474852071005917</v>
      </c>
      <c r="P19" s="119">
        <f t="shared" si="11"/>
        <v>4.0514464168310322</v>
      </c>
      <c r="Q19" s="112" t="s">
        <v>121</v>
      </c>
      <c r="R19" s="14">
        <f>SUM(K19:P19)</f>
        <v>24.028021038790271</v>
      </c>
    </row>
    <row r="20" spans="1:20" ht="15.75">
      <c r="A20" s="151" t="s">
        <v>123</v>
      </c>
      <c r="B20" s="152" t="s">
        <v>124</v>
      </c>
      <c r="C20" s="152"/>
      <c r="D20" s="152"/>
      <c r="E20" s="152"/>
      <c r="F20" s="152"/>
      <c r="G20" s="152"/>
      <c r="Q20" s="136" t="s">
        <v>24</v>
      </c>
      <c r="R20" s="137">
        <f>AVERAGE(K19:P19)</f>
        <v>4.0046701731317116</v>
      </c>
      <c r="S20" s="24"/>
      <c r="T20" s="24"/>
    </row>
    <row r="21" spans="1:20" ht="15.75">
      <c r="A21" s="151"/>
      <c r="B21" s="2" t="s">
        <v>0</v>
      </c>
      <c r="C21" s="2" t="s">
        <v>1</v>
      </c>
      <c r="D21" s="2" t="s">
        <v>2</v>
      </c>
      <c r="E21" s="2" t="s">
        <v>3</v>
      </c>
      <c r="F21" s="2" t="s">
        <v>4</v>
      </c>
      <c r="G21" s="2" t="s">
        <v>107</v>
      </c>
      <c r="H21" s="122" t="s">
        <v>12</v>
      </c>
      <c r="Q21" s="136" t="s">
        <v>16</v>
      </c>
      <c r="R21" s="137">
        <f>R20^(1/2)</f>
        <v>2.0011672026923968</v>
      </c>
      <c r="S21" s="24"/>
      <c r="T21" s="24"/>
    </row>
    <row r="22" spans="1:20" ht="16.5" thickBot="1">
      <c r="A22" s="3" t="s">
        <v>5</v>
      </c>
      <c r="B22" s="3">
        <f>$B$19-B3</f>
        <v>5</v>
      </c>
      <c r="C22" s="3">
        <f t="shared" ref="C22:G22" si="12">$B$19-C3</f>
        <v>2</v>
      </c>
      <c r="D22" s="3">
        <f t="shared" si="12"/>
        <v>3</v>
      </c>
      <c r="E22" s="3">
        <f t="shared" si="12"/>
        <v>4</v>
      </c>
      <c r="F22" s="3">
        <f t="shared" si="12"/>
        <v>0</v>
      </c>
      <c r="G22" s="3">
        <f t="shared" si="12"/>
        <v>1</v>
      </c>
      <c r="H22" s="123">
        <f>SUM(B22:G22)</f>
        <v>15</v>
      </c>
    </row>
    <row r="23" spans="1:20" ht="19.5" thickBot="1">
      <c r="A23" s="3" t="s">
        <v>6</v>
      </c>
      <c r="B23" s="3">
        <f t="shared" ref="B23:G23" si="13">$B$19-B4</f>
        <v>5</v>
      </c>
      <c r="C23" s="3">
        <f t="shared" si="13"/>
        <v>2</v>
      </c>
      <c r="D23" s="3">
        <f t="shared" si="13"/>
        <v>3</v>
      </c>
      <c r="E23" s="3">
        <f t="shared" si="13"/>
        <v>4</v>
      </c>
      <c r="F23" s="3">
        <f t="shared" si="13"/>
        <v>0</v>
      </c>
      <c r="G23" s="3">
        <f t="shared" si="13"/>
        <v>1</v>
      </c>
      <c r="H23" s="123">
        <f t="shared" ref="H23:H34" si="14">SUM(B23:G23)</f>
        <v>15</v>
      </c>
      <c r="J23" s="132"/>
      <c r="Q23" s="120" t="s">
        <v>122</v>
      </c>
      <c r="R23" s="121">
        <f>R21/R16</f>
        <v>0.92361563201187546</v>
      </c>
      <c r="S23" s="109"/>
    </row>
    <row r="24" spans="1:20" ht="15.75">
      <c r="A24" s="3" t="s">
        <v>7</v>
      </c>
      <c r="B24" s="3">
        <f t="shared" ref="B24:G24" si="15">$B$19-B5</f>
        <v>4</v>
      </c>
      <c r="C24" s="3">
        <f t="shared" si="15"/>
        <v>5</v>
      </c>
      <c r="D24" s="3">
        <f t="shared" si="15"/>
        <v>3</v>
      </c>
      <c r="E24" s="3">
        <f t="shared" si="15"/>
        <v>2</v>
      </c>
      <c r="F24" s="3">
        <f t="shared" si="15"/>
        <v>1</v>
      </c>
      <c r="G24" s="3">
        <f t="shared" si="15"/>
        <v>0</v>
      </c>
      <c r="H24" s="123">
        <f t="shared" si="14"/>
        <v>15</v>
      </c>
      <c r="J24" s="5"/>
      <c r="Q24" s="117"/>
      <c r="R24" s="109"/>
      <c r="S24" s="109"/>
    </row>
    <row r="25" spans="1:20" ht="15.75">
      <c r="A25" s="3" t="s">
        <v>8</v>
      </c>
      <c r="B25" s="3">
        <f t="shared" ref="B25:G25" si="16">$B$19-B6</f>
        <v>4</v>
      </c>
      <c r="C25" s="3">
        <f t="shared" si="16"/>
        <v>2</v>
      </c>
      <c r="D25" s="3">
        <f t="shared" si="16"/>
        <v>1</v>
      </c>
      <c r="E25" s="3">
        <f t="shared" si="16"/>
        <v>5</v>
      </c>
      <c r="F25" s="3">
        <f t="shared" si="16"/>
        <v>0</v>
      </c>
      <c r="G25" s="3">
        <f t="shared" si="16"/>
        <v>3</v>
      </c>
      <c r="H25" s="123">
        <f t="shared" si="14"/>
        <v>15</v>
      </c>
      <c r="J25" s="5"/>
      <c r="Q25" s="117"/>
      <c r="R25" s="109"/>
      <c r="S25" s="109"/>
    </row>
    <row r="26" spans="1:20" ht="15.75">
      <c r="A26" s="3" t="s">
        <v>109</v>
      </c>
      <c r="B26" s="3">
        <f t="shared" ref="B26:G26" si="17">$B$19-B7</f>
        <v>2</v>
      </c>
      <c r="C26" s="3">
        <f t="shared" si="17"/>
        <v>3</v>
      </c>
      <c r="D26" s="3">
        <f t="shared" si="17"/>
        <v>1</v>
      </c>
      <c r="E26" s="3">
        <f t="shared" si="17"/>
        <v>4</v>
      </c>
      <c r="F26" s="3">
        <f t="shared" si="17"/>
        <v>0</v>
      </c>
      <c r="G26" s="3">
        <f t="shared" si="17"/>
        <v>5</v>
      </c>
      <c r="H26" s="123">
        <f t="shared" si="14"/>
        <v>15</v>
      </c>
      <c r="J26" s="5"/>
      <c r="Q26" s="117"/>
      <c r="R26" s="109"/>
      <c r="S26" s="109"/>
    </row>
    <row r="27" spans="1:20" ht="16.5" thickBot="1">
      <c r="A27" s="3" t="s">
        <v>110</v>
      </c>
      <c r="B27" s="3">
        <f t="shared" ref="B27:G27" si="18">$B$19-B8</f>
        <v>2</v>
      </c>
      <c r="C27" s="3">
        <f t="shared" si="18"/>
        <v>4</v>
      </c>
      <c r="D27" s="3">
        <f t="shared" si="18"/>
        <v>3</v>
      </c>
      <c r="E27" s="3">
        <f t="shared" si="18"/>
        <v>5</v>
      </c>
      <c r="F27" s="3">
        <f t="shared" si="18"/>
        <v>0</v>
      </c>
      <c r="G27" s="3">
        <f t="shared" si="18"/>
        <v>1</v>
      </c>
      <c r="H27" s="123">
        <f t="shared" si="14"/>
        <v>15</v>
      </c>
      <c r="J27" s="4" t="s">
        <v>14</v>
      </c>
      <c r="Q27" s="117"/>
      <c r="R27" s="109"/>
      <c r="S27" s="109"/>
    </row>
    <row r="28" spans="1:20" ht="21" thickBot="1">
      <c r="A28" s="3" t="s">
        <v>111</v>
      </c>
      <c r="B28" s="3">
        <f t="shared" ref="B28:G28" si="19">$B$19-B9</f>
        <v>1</v>
      </c>
      <c r="C28" s="3">
        <f t="shared" si="19"/>
        <v>2</v>
      </c>
      <c r="D28" s="3">
        <f t="shared" si="19"/>
        <v>0</v>
      </c>
      <c r="E28" s="3">
        <f t="shared" si="19"/>
        <v>5</v>
      </c>
      <c r="F28" s="3">
        <f t="shared" si="19"/>
        <v>3</v>
      </c>
      <c r="G28" s="3">
        <f t="shared" si="19"/>
        <v>4</v>
      </c>
      <c r="H28" s="123">
        <f t="shared" si="14"/>
        <v>15</v>
      </c>
      <c r="J28" s="124" t="s">
        <v>126</v>
      </c>
      <c r="K28" s="125"/>
      <c r="L28" s="126">
        <f>1200*R19/(6^2*(13^3-13))</f>
        <v>0.36672803783257435</v>
      </c>
      <c r="Q28" s="117"/>
      <c r="R28" s="109"/>
      <c r="S28" s="109"/>
    </row>
    <row r="29" spans="1:20" ht="15.75">
      <c r="A29" s="3" t="s">
        <v>112</v>
      </c>
      <c r="B29" s="3">
        <f t="shared" ref="B29:G29" si="20">$B$19-B10</f>
        <v>0</v>
      </c>
      <c r="C29" s="3">
        <f t="shared" si="20"/>
        <v>1</v>
      </c>
      <c r="D29" s="3">
        <f t="shared" si="20"/>
        <v>3</v>
      </c>
      <c r="E29" s="3">
        <f t="shared" si="20"/>
        <v>5</v>
      </c>
      <c r="F29" s="3">
        <f t="shared" si="20"/>
        <v>2</v>
      </c>
      <c r="G29" s="3">
        <f t="shared" si="20"/>
        <v>4</v>
      </c>
      <c r="H29" s="123">
        <f t="shared" si="14"/>
        <v>15</v>
      </c>
      <c r="Q29" s="117"/>
      <c r="R29" s="109"/>
      <c r="S29" s="109"/>
    </row>
    <row r="30" spans="1:20" ht="15.75">
      <c r="A30" s="3" t="s">
        <v>113</v>
      </c>
      <c r="B30" s="3">
        <f t="shared" ref="B30:G30" si="21">$B$19-B11</f>
        <v>0</v>
      </c>
      <c r="C30" s="3">
        <f t="shared" si="21"/>
        <v>1</v>
      </c>
      <c r="D30" s="3">
        <f t="shared" si="21"/>
        <v>2</v>
      </c>
      <c r="E30" s="3">
        <f t="shared" si="21"/>
        <v>4</v>
      </c>
      <c r="F30" s="3">
        <f t="shared" si="21"/>
        <v>3</v>
      </c>
      <c r="G30" s="3">
        <f t="shared" si="21"/>
        <v>5</v>
      </c>
      <c r="H30" s="123">
        <f t="shared" si="14"/>
        <v>15</v>
      </c>
      <c r="Q30" s="117"/>
      <c r="R30" s="109"/>
      <c r="S30" s="109"/>
    </row>
    <row r="31" spans="1:20" ht="15.75">
      <c r="A31" s="3" t="s">
        <v>114</v>
      </c>
      <c r="B31" s="3">
        <f t="shared" ref="B31:G31" si="22">$B$19-B12</f>
        <v>5</v>
      </c>
      <c r="C31" s="3">
        <f t="shared" si="22"/>
        <v>3</v>
      </c>
      <c r="D31" s="3">
        <f t="shared" si="22"/>
        <v>2</v>
      </c>
      <c r="E31" s="3">
        <f t="shared" si="22"/>
        <v>4</v>
      </c>
      <c r="F31" s="3">
        <f t="shared" si="22"/>
        <v>0</v>
      </c>
      <c r="G31" s="3">
        <f t="shared" si="22"/>
        <v>1</v>
      </c>
      <c r="H31" s="123">
        <f t="shared" si="14"/>
        <v>15</v>
      </c>
      <c r="R31" s="109"/>
      <c r="S31" s="109"/>
    </row>
    <row r="32" spans="1:20" ht="15.75">
      <c r="A32" s="3" t="s">
        <v>115</v>
      </c>
      <c r="B32" s="3">
        <f t="shared" ref="B32:G32" si="23">$B$19-B13</f>
        <v>5</v>
      </c>
      <c r="C32" s="3">
        <f t="shared" si="23"/>
        <v>2</v>
      </c>
      <c r="D32" s="3">
        <f t="shared" si="23"/>
        <v>3</v>
      </c>
      <c r="E32" s="3">
        <f t="shared" si="23"/>
        <v>4</v>
      </c>
      <c r="F32" s="3">
        <f t="shared" si="23"/>
        <v>1</v>
      </c>
      <c r="G32" s="3">
        <f t="shared" si="23"/>
        <v>0</v>
      </c>
      <c r="H32" s="123">
        <f t="shared" si="14"/>
        <v>15</v>
      </c>
      <c r="R32" s="109"/>
      <c r="S32" s="109"/>
    </row>
    <row r="33" spans="1:8" ht="15.75">
      <c r="A33" s="3" t="s">
        <v>116</v>
      </c>
      <c r="B33" s="3">
        <f t="shared" ref="B33:G33" si="24">$B$19-B14</f>
        <v>2</v>
      </c>
      <c r="C33" s="3">
        <f t="shared" si="24"/>
        <v>5</v>
      </c>
      <c r="D33" s="3">
        <f t="shared" si="24"/>
        <v>3</v>
      </c>
      <c r="E33" s="3">
        <f t="shared" si="24"/>
        <v>4</v>
      </c>
      <c r="F33" s="3">
        <f t="shared" si="24"/>
        <v>0</v>
      </c>
      <c r="G33" s="3">
        <f t="shared" si="24"/>
        <v>1</v>
      </c>
      <c r="H33" s="123">
        <f t="shared" si="14"/>
        <v>15</v>
      </c>
    </row>
    <row r="34" spans="1:8" ht="15.75">
      <c r="A34" s="3" t="s">
        <v>117</v>
      </c>
      <c r="B34" s="3">
        <f t="shared" ref="B34:G34" si="25">$B$19-B15</f>
        <v>2</v>
      </c>
      <c r="C34" s="3">
        <f t="shared" si="25"/>
        <v>3</v>
      </c>
      <c r="D34" s="3">
        <f t="shared" si="25"/>
        <v>1</v>
      </c>
      <c r="E34" s="3">
        <f t="shared" si="25"/>
        <v>5</v>
      </c>
      <c r="F34" s="3">
        <f t="shared" si="25"/>
        <v>0</v>
      </c>
      <c r="G34" s="3">
        <f t="shared" si="25"/>
        <v>4</v>
      </c>
      <c r="H34" s="123">
        <f t="shared" si="14"/>
        <v>15</v>
      </c>
    </row>
    <row r="35" spans="1:8" ht="15.75">
      <c r="A35" s="3" t="s">
        <v>12</v>
      </c>
      <c r="B35" s="3">
        <f>SUM(B22:B34)</f>
        <v>37</v>
      </c>
      <c r="C35" s="3">
        <f t="shared" ref="C35:G35" si="26">SUM(C22:C34)</f>
        <v>35</v>
      </c>
      <c r="D35" s="3">
        <f t="shared" si="26"/>
        <v>28</v>
      </c>
      <c r="E35" s="3">
        <f t="shared" si="26"/>
        <v>55</v>
      </c>
      <c r="F35" s="3">
        <f t="shared" si="26"/>
        <v>10</v>
      </c>
      <c r="G35" s="3">
        <f t="shared" si="26"/>
        <v>30</v>
      </c>
    </row>
    <row r="38" spans="1:8">
      <c r="B38">
        <f>12*1065.5/169/(6^3-6)</f>
        <v>0.3602704987320372</v>
      </c>
    </row>
  </sheetData>
  <mergeCells count="6">
    <mergeCell ref="A1:A2"/>
    <mergeCell ref="B1:G1"/>
    <mergeCell ref="J1:J2"/>
    <mergeCell ref="K1:P1"/>
    <mergeCell ref="A20:A21"/>
    <mergeCell ref="B20:G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ранжирование</vt:lpstr>
      <vt:lpstr>парные_сравнения</vt:lpstr>
      <vt:lpstr>ранжир2</vt:lpstr>
      <vt:lpstr>компетентность</vt:lpstr>
      <vt:lpstr>ранжирование1</vt:lpstr>
      <vt:lpstr>лецкий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2022-04-23T12:31:53Z</dcterms:modified>
</cp:coreProperties>
</file>